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D8C7DC3C-ABFC-CD46-84FD-34D8F1CB1A28}" xr6:coauthVersionLast="47" xr6:coauthVersionMax="47" xr10:uidLastSave="{00000000-0000-0000-0000-000000000000}"/>
  <bookViews>
    <workbookView xWindow="-108" yWindow="-108" windowWidth="23256" windowHeight="13176" firstSheet="1" xr2:uid="{AB5D773F-3270-4F88-843E-90E79EEEB45E}"/>
  </bookViews>
  <sheets>
    <sheet name="Question 1 " sheetId="1" r:id="rId1"/>
    <sheet name="Question 2" sheetId="2" r:id="rId2"/>
    <sheet name="Question 3" sheetId="3" r:id="rId3"/>
    <sheet name="Question 4" sheetId="4" r:id="rId4"/>
    <sheet name="Question 5" sheetId="5" r:id="rId5"/>
    <sheet name="Question 6" sheetId="6" r:id="rId6"/>
    <sheet name="Question 7" sheetId="7" r:id="rId7"/>
    <sheet name="Question 8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8" l="1"/>
  <c r="D13" i="8"/>
  <c r="D14" i="8"/>
  <c r="D11" i="8"/>
  <c r="D10" i="7"/>
  <c r="D11" i="7"/>
  <c r="D12" i="7"/>
  <c r="D13" i="7"/>
  <c r="G5" i="6"/>
  <c r="G6" i="6"/>
  <c r="G7" i="6"/>
  <c r="I4" i="4"/>
  <c r="E6" i="5"/>
  <c r="I6" i="4"/>
  <c r="I5" i="4"/>
  <c r="I7" i="4"/>
  <c r="E6" i="3"/>
  <c r="E7" i="3"/>
  <c r="E8" i="3"/>
  <c r="E9" i="3"/>
  <c r="E10" i="3"/>
  <c r="F4" i="2"/>
  <c r="F5" i="2"/>
  <c r="F6" i="2"/>
  <c r="F7" i="2"/>
  <c r="E4" i="1"/>
  <c r="E5" i="1"/>
  <c r="E6" i="1"/>
  <c r="E7" i="1"/>
  <c r="E8" i="1"/>
</calcChain>
</file>

<file path=xl/sharedStrings.xml><?xml version="1.0" encoding="utf-8"?>
<sst xmlns="http://schemas.openxmlformats.org/spreadsheetml/2006/main" count="115" uniqueCount="74">
  <si>
    <t xml:space="preserve">Question:1 </t>
  </si>
  <si>
    <t>Solution:1</t>
  </si>
  <si>
    <t>Question:2</t>
  </si>
  <si>
    <t>Solution:2</t>
  </si>
  <si>
    <t>Employee</t>
  </si>
  <si>
    <t>Department</t>
  </si>
  <si>
    <t>Salary</t>
  </si>
  <si>
    <t>IT</t>
  </si>
  <si>
    <t>HR</t>
  </si>
  <si>
    <t>Rahul</t>
  </si>
  <si>
    <t>Question:3</t>
  </si>
  <si>
    <t>Solution:3</t>
  </si>
  <si>
    <t>Question:4</t>
  </si>
  <si>
    <t>Solution: 4</t>
  </si>
  <si>
    <t>Question:5</t>
  </si>
  <si>
    <t>Solution: 5</t>
  </si>
  <si>
    <t>Question:6</t>
  </si>
  <si>
    <t>Solution: 6</t>
  </si>
  <si>
    <t>Question:7</t>
  </si>
  <si>
    <t>Solution: 7</t>
  </si>
  <si>
    <t>Question:8</t>
  </si>
  <si>
    <t>Solution: 8</t>
  </si>
  <si>
    <t>Write a formula to check if the marks in cell are greater than or equal to 40. If yes, return , "Pass", otherwise "Fail</t>
  </si>
  <si>
    <t>Student Name</t>
  </si>
  <si>
    <t>Marks</t>
  </si>
  <si>
    <t>Riya</t>
  </si>
  <si>
    <t>Siya</t>
  </si>
  <si>
    <t>Raju</t>
  </si>
  <si>
    <t>Ram</t>
  </si>
  <si>
    <t>Result</t>
  </si>
  <si>
    <t>A company gives a bonus  if sales are above 40,000 and attendance is greater than or equal to 90%. Write a
formula to calculate whether the employee will get a bonus or not .</t>
  </si>
  <si>
    <t>Sales</t>
  </si>
  <si>
    <t>Attendance</t>
  </si>
  <si>
    <t>Arjun</t>
  </si>
  <si>
    <t>Simarn</t>
  </si>
  <si>
    <t>Rohit</t>
  </si>
  <si>
    <t>Anjali</t>
  </si>
  <si>
    <t>Raj</t>
  </si>
  <si>
    <t>Neha</t>
  </si>
  <si>
    <t>Vivek</t>
  </si>
  <si>
    <t>Rani</t>
  </si>
  <si>
    <t>Sneha</t>
  </si>
  <si>
    <t>Write a nested IF formula:_x000B_
If marks in are ≥ 90 →A , ≥ 75 → , ≥ 50 →C , otherwise .</t>
  </si>
  <si>
    <t>EmpID</t>
  </si>
  <si>
    <t>Name</t>
  </si>
  <si>
    <t>E101</t>
  </si>
  <si>
    <t>E102</t>
  </si>
  <si>
    <t>E103</t>
  </si>
  <si>
    <t>Roshni</t>
  </si>
  <si>
    <t>Finance</t>
  </si>
  <si>
    <t>E104</t>
  </si>
  <si>
    <t>Sejal</t>
  </si>
  <si>
    <t>Find the Department of Employee ID = E103. Also explain which LOOKUP function is used and why?</t>
  </si>
  <si>
    <t>The Department for Employee ID E103 is Finance.</t>
  </si>
  <si>
    <t>The most appropriate and standard function for this task in a vertical data arrangement like the one provided is VLOOKUP (Vertical Lookup).</t>
  </si>
  <si>
    <t>Sales Amount</t>
  </si>
  <si>
    <t>Commission Rate</t>
  </si>
  <si>
    <t>Commission Rate for 45000</t>
  </si>
  <si>
    <t>A company has set the following commission structure for its sales team:
If a salesperson achieves sales of ₹45,000, use the VLOOKUP function to determine the commission rate applicable.</t>
  </si>
  <si>
    <t>Finally , the applicable commison rate for a sales amount of 45000 is 10%.</t>
  </si>
  <si>
    <t>The HR department maintains the following leave records of employees:onus or not .
Write an IF function to check whether an employee has Exceeded their allowed leave balance.
If Leaves Taken &gt; Allowed Leaves, display "Exceeded".
Otherwise, display "OK".</t>
  </si>
  <si>
    <t>Employee Name</t>
  </si>
  <si>
    <t>Leaves Taken</t>
  </si>
  <si>
    <t>Leaves Allowed</t>
  </si>
  <si>
    <t>Alex</t>
  </si>
  <si>
    <t>Bob</t>
  </si>
  <si>
    <t>Anna</t>
  </si>
  <si>
    <t>STATUS</t>
  </si>
  <si>
    <t>Find the salary of EmpID = E105 using INDEX-MATCH Function.</t>
  </si>
  <si>
    <t>E105</t>
  </si>
  <si>
    <t>E106</t>
  </si>
  <si>
    <t>Use the XLOOKUP function to find the Department of the employee with Emp ID = E303.</t>
  </si>
  <si>
    <t>E303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</si>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</sst>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 wrapText="1"/>
    </xf>
    <xf numFmtId="43" fontId="0" fillId="0" borderId="1" xfId="1" applyFont="1" applyBorder="1"/>
    <xf numFmtId="0" fontId="4" fillId="0" borderId="1" xfId="0" applyFont="1" applyBorder="1" applyAlignment="1"/>
    <xf numFmtId="0" fontId="5" fillId="0" borderId="1" xfId="0" applyFont="1" applyBorder="1" applyAlignment="1"/>
    <xf numFmtId="14" fontId="1" fillId="0" borderId="0" xfId="0" applyNumberFormat="1" applyFont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right" wrapText="1"/>
    </xf>
    <xf numFmtId="9" fontId="7" fillId="0" borderId="1" xfId="0" applyNumberFormat="1" applyFont="1" applyBorder="1" applyAlignment="1">
      <alignment horizontal="right" wrapText="1"/>
    </xf>
    <xf numFmtId="9" fontId="0" fillId="2" borderId="0" xfId="2" applyFont="1" applyFill="1"/>
    <xf numFmtId="0" fontId="1" fillId="2" borderId="1" xfId="0" applyFont="1" applyFill="1" applyBorder="1"/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 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 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662940</xdr:colOff>
      <xdr:row>2</xdr:row>
      <xdr:rowOff>15240</xdr:rowOff>
    </xdr:from>
    <xdr:to>
      <xdr:col>1</xdr:col>
      <xdr:colOff>4683051</xdr:colOff>
      <xdr:row>12</xdr:row>
      <xdr:rowOff>34548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1866F4-F5BB-A278-023A-690EAE8EB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1180" y="533400"/>
          <a:ext cx="4020111" cy="18481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</xdr:col>
      <xdr:colOff>6477904</xdr:colOff>
      <xdr:row>12</xdr:row>
      <xdr:rowOff>42120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812291-C145-B8F5-B6EE-1C669056A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" y="998220"/>
          <a:ext cx="6477904" cy="15051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3</xdr:row>
      <xdr:rowOff>0</xdr:rowOff>
    </xdr:from>
    <xdr:to>
      <xdr:col>1</xdr:col>
      <xdr:colOff>4822367</xdr:colOff>
      <xdr:row>12</xdr:row>
      <xdr:rowOff>40240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6E4E48-CB1E-F7F3-6F20-3C699A14B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815340"/>
          <a:ext cx="5820587" cy="16861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9</xdr:row>
      <xdr:rowOff>30480</xdr:rowOff>
    </xdr:from>
    <xdr:to>
      <xdr:col>4</xdr:col>
      <xdr:colOff>732610</xdr:colOff>
      <xdr:row>19</xdr:row>
      <xdr:rowOff>154578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52770B-8760-E58B-99D0-60845D719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2171700"/>
          <a:ext cx="7811590" cy="19528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6</xdr:row>
      <xdr:rowOff>15240</xdr:rowOff>
    </xdr:from>
    <xdr:to>
      <xdr:col>1</xdr:col>
      <xdr:colOff>4980513</xdr:colOff>
      <xdr:row>21</xdr:row>
      <xdr:rowOff>91834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958BC8-17B7-861B-9DA6-0A865519D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1264920"/>
          <a:ext cx="6039693" cy="28197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3</xdr:row>
      <xdr:rowOff>22860</xdr:rowOff>
    </xdr:from>
    <xdr:to>
      <xdr:col>1</xdr:col>
      <xdr:colOff>5140559</xdr:colOff>
      <xdr:row>10</xdr:row>
      <xdr:rowOff>19228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835F29C-5290-E85F-61DD-4D311D478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752600"/>
          <a:ext cx="6230219" cy="12765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5668166</xdr:colOff>
      <xdr:row>18</xdr:row>
      <xdr:rowOff>181383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3C2F61-4A5C-6F70-B14B-E12631C50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" y="701040"/>
          <a:ext cx="5668166" cy="292458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174752</xdr:rowOff>
    </xdr:from>
    <xdr:to>
      <xdr:col>1</xdr:col>
      <xdr:colOff>5279647</xdr:colOff>
      <xdr:row>20</xdr:row>
      <xdr:rowOff>163247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C6BA73-81A5-E5EB-BAED-581A72DC8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5952"/>
          <a:ext cx="6433823" cy="32356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553E8-373D-40E8-B419-E3A0FB23B13A}">
  <dimension ref="A1:E14"/>
  <sheetViews>
    <sheetView tabSelected="1" workbookViewId="0">
      <selection activeCell="B17" sqref="B17"/>
    </sheetView>
  </sheetViews>
  <sheetFormatPr defaultRowHeight="15" x14ac:dyDescent="0.2"/>
  <cols>
    <col min="1" max="1" width="16.94921875" bestFit="1" customWidth="1"/>
    <col min="2" max="2" width="97.39453125" style="3" customWidth="1"/>
    <col min="3" max="3" width="13.1796875" bestFit="1" customWidth="1"/>
  </cols>
  <sheetData>
    <row r="1" spans="1:5" ht="20.25" x14ac:dyDescent="0.25">
      <c r="A1" s="2" t="s">
        <v>0</v>
      </c>
      <c r="B1" s="4" t="s">
        <v>22</v>
      </c>
    </row>
    <row r="2" spans="1:5" ht="20.25" x14ac:dyDescent="0.25">
      <c r="A2" s="2" t="s">
        <v>1</v>
      </c>
    </row>
    <row r="3" spans="1:5" x14ac:dyDescent="0.2">
      <c r="C3" s="6" t="s">
        <v>23</v>
      </c>
      <c r="D3" s="6" t="s">
        <v>24</v>
      </c>
      <c r="E3" s="6" t="s">
        <v>29</v>
      </c>
    </row>
    <row r="4" spans="1:5" x14ac:dyDescent="0.2">
      <c r="B4" s="4"/>
      <c r="C4" s="5" t="s">
        <v>25</v>
      </c>
      <c r="D4" s="5">
        <v>45</v>
      </c>
      <c r="E4" s="6" t="str">
        <f>IF(D4&gt;=40,"Pass", "Fail")</f>
        <v>Pass</v>
      </c>
    </row>
    <row r="5" spans="1:5" x14ac:dyDescent="0.2">
      <c r="C5" s="5" t="s">
        <v>26</v>
      </c>
      <c r="D5" s="5">
        <v>72</v>
      </c>
      <c r="E5" s="6" t="str">
        <f t="shared" ref="E5:E8" si="0">IF(D5&gt;=40,"Pass", "Fail")</f>
        <v>Pass</v>
      </c>
    </row>
    <row r="6" spans="1:5" x14ac:dyDescent="0.2">
      <c r="C6" s="5" t="s">
        <v>27</v>
      </c>
      <c r="D6" s="5">
        <v>55</v>
      </c>
      <c r="E6" s="6" t="str">
        <f t="shared" si="0"/>
        <v>Pass</v>
      </c>
    </row>
    <row r="7" spans="1:5" x14ac:dyDescent="0.2">
      <c r="C7" s="5" t="s">
        <v>9</v>
      </c>
      <c r="D7" s="5">
        <v>80</v>
      </c>
      <c r="E7" s="6" t="str">
        <f t="shared" si="0"/>
        <v>Pass</v>
      </c>
    </row>
    <row r="8" spans="1:5" x14ac:dyDescent="0.2">
      <c r="C8" s="5" t="s">
        <v>28</v>
      </c>
      <c r="D8" s="5">
        <v>30</v>
      </c>
      <c r="E8" s="6" t="str">
        <f t="shared" si="0"/>
        <v>Fail</v>
      </c>
    </row>
    <row r="14" spans="1:5" x14ac:dyDescent="0.2">
      <c r="B14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A653-D12D-41C6-8164-8B98191F6D05}">
  <dimension ref="A1:F7"/>
  <sheetViews>
    <sheetView topLeftCell="B1" workbookViewId="0">
      <selection activeCell="E13" sqref="E13"/>
    </sheetView>
  </sheetViews>
  <sheetFormatPr defaultRowHeight="15" x14ac:dyDescent="0.2"/>
  <cols>
    <col min="1" max="1" width="16.27734375" bestFit="1" customWidth="1"/>
    <col min="2" max="2" width="95.64453125" customWidth="1"/>
    <col min="3" max="3" width="9.01171875" bestFit="1" customWidth="1"/>
    <col min="4" max="4" width="9.81640625" bestFit="1" customWidth="1"/>
    <col min="5" max="5" width="10.35546875" bestFit="1" customWidth="1"/>
    <col min="6" max="6" width="9.81640625" bestFit="1" customWidth="1"/>
  </cols>
  <sheetData>
    <row r="1" spans="1:6" ht="28.5" x14ac:dyDescent="0.25">
      <c r="A1" s="2" t="s">
        <v>2</v>
      </c>
      <c r="B1" s="4" t="s">
        <v>30</v>
      </c>
    </row>
    <row r="2" spans="1:6" ht="20.25" x14ac:dyDescent="0.25">
      <c r="A2" s="2" t="s">
        <v>3</v>
      </c>
    </row>
    <row r="3" spans="1:6" x14ac:dyDescent="0.2">
      <c r="C3" s="6" t="s">
        <v>4</v>
      </c>
      <c r="D3" s="6" t="s">
        <v>31</v>
      </c>
      <c r="E3" s="6" t="s">
        <v>32</v>
      </c>
      <c r="F3" s="6" t="s">
        <v>29</v>
      </c>
    </row>
    <row r="4" spans="1:6" x14ac:dyDescent="0.2">
      <c r="C4" s="5" t="s">
        <v>33</v>
      </c>
      <c r="D4" s="8">
        <v>55000</v>
      </c>
      <c r="E4" s="5">
        <v>95</v>
      </c>
      <c r="F4" s="6" t="str">
        <f>IF(AND(D4&gt;40000,E4&gt;90),"BONUS","NOBONUS")</f>
        <v>BONUS</v>
      </c>
    </row>
    <row r="5" spans="1:6" x14ac:dyDescent="0.2">
      <c r="C5" s="5" t="s">
        <v>34</v>
      </c>
      <c r="D5" s="8">
        <v>65000</v>
      </c>
      <c r="E5" s="5">
        <v>85</v>
      </c>
      <c r="F5" s="6" t="str">
        <f t="shared" ref="F5:F7" si="0">IF(AND(D5&gt;40000,E5&gt;90),"BONUS","NOBONUS")</f>
        <v>NOBONUS</v>
      </c>
    </row>
    <row r="6" spans="1:6" x14ac:dyDescent="0.2">
      <c r="C6" s="5" t="s">
        <v>35</v>
      </c>
      <c r="D6" s="8">
        <v>30000</v>
      </c>
      <c r="E6" s="5">
        <v>90</v>
      </c>
      <c r="F6" s="6" t="str">
        <f t="shared" si="0"/>
        <v>NOBONUS</v>
      </c>
    </row>
    <row r="7" spans="1:6" x14ac:dyDescent="0.2">
      <c r="C7" s="5" t="s">
        <v>36</v>
      </c>
      <c r="D7" s="8">
        <v>25000</v>
      </c>
      <c r="E7" s="5">
        <v>65</v>
      </c>
      <c r="F7" s="6" t="str">
        <f t="shared" si="0"/>
        <v>NOBONUS</v>
      </c>
    </row>
  </sheetData>
  <sortState xmlns:xlrd2="http://schemas.microsoft.com/office/spreadsheetml/2017/richdata2" ref="B14:E16">
    <sortCondition descending="1" ref="E14:E16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1498A-C92D-439C-8111-764D3757A080}">
  <dimension ref="A1:E10"/>
  <sheetViews>
    <sheetView workbookViewId="0">
      <selection activeCell="B15" sqref="B15"/>
    </sheetView>
  </sheetViews>
  <sheetFormatPr defaultRowHeight="15" x14ac:dyDescent="0.2"/>
  <cols>
    <col min="1" max="1" width="16.27734375" bestFit="1" customWidth="1"/>
    <col min="2" max="2" width="81.38671875" customWidth="1"/>
    <col min="3" max="3" width="12.5078125" bestFit="1" customWidth="1"/>
  </cols>
  <sheetData>
    <row r="1" spans="1:5" ht="42" x14ac:dyDescent="0.25">
      <c r="A1" s="2" t="s">
        <v>10</v>
      </c>
      <c r="B1" s="4" t="s">
        <v>42</v>
      </c>
    </row>
    <row r="2" spans="1:5" ht="20.25" x14ac:dyDescent="0.25">
      <c r="A2" s="2" t="s">
        <v>11</v>
      </c>
    </row>
    <row r="5" spans="1:5" x14ac:dyDescent="0.2">
      <c r="C5" s="6" t="s">
        <v>23</v>
      </c>
      <c r="D5" s="6" t="s">
        <v>24</v>
      </c>
      <c r="E5" s="6" t="s">
        <v>29</v>
      </c>
    </row>
    <row r="6" spans="1:5" x14ac:dyDescent="0.2">
      <c r="C6" s="5" t="s">
        <v>37</v>
      </c>
      <c r="D6" s="5">
        <v>85</v>
      </c>
      <c r="E6" s="6" t="str">
        <f>IF(D6&gt;=90,"A",IF(D6&gt;=75,"B",IF(D6&gt;=50,"C","FAIL")))</f>
        <v>B</v>
      </c>
    </row>
    <row r="7" spans="1:5" x14ac:dyDescent="0.2">
      <c r="C7" s="5" t="s">
        <v>38</v>
      </c>
      <c r="D7" s="5">
        <v>96</v>
      </c>
      <c r="E7" s="6" t="str">
        <f t="shared" ref="E7:E10" si="0">IF(D7&gt;=90,"A",IF(D7&gt;=75,"B",IF(D7&gt;=50,"C","FAIL")))</f>
        <v>A</v>
      </c>
    </row>
    <row r="8" spans="1:5" x14ac:dyDescent="0.2">
      <c r="C8" s="5" t="s">
        <v>39</v>
      </c>
      <c r="D8" s="5">
        <v>57</v>
      </c>
      <c r="E8" s="6" t="str">
        <f t="shared" si="0"/>
        <v>C</v>
      </c>
    </row>
    <row r="9" spans="1:5" x14ac:dyDescent="0.2">
      <c r="C9" s="5" t="s">
        <v>40</v>
      </c>
      <c r="D9" s="5">
        <v>92</v>
      </c>
      <c r="E9" s="6" t="str">
        <f t="shared" si="0"/>
        <v>A</v>
      </c>
    </row>
    <row r="10" spans="1:5" x14ac:dyDescent="0.2">
      <c r="C10" s="5" t="s">
        <v>41</v>
      </c>
      <c r="D10" s="5">
        <v>75</v>
      </c>
      <c r="E10" s="6" t="str">
        <f t="shared" si="0"/>
        <v>B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41AE-5326-4EEF-8DE9-834A43EABBDA}">
  <dimension ref="A1:I7"/>
  <sheetViews>
    <sheetView topLeftCell="T1" workbookViewId="0">
      <selection activeCell="B5" sqref="B5"/>
    </sheetView>
  </sheetViews>
  <sheetFormatPr defaultRowHeight="15" x14ac:dyDescent="0.2"/>
  <cols>
    <col min="1" max="1" width="16.27734375" bestFit="1" customWidth="1"/>
    <col min="2" max="2" width="81.38671875" customWidth="1"/>
    <col min="5" max="5" width="14.125" bestFit="1" customWidth="1"/>
    <col min="7" max="8" width="7.93359375" bestFit="1" customWidth="1"/>
    <col min="9" max="9" width="14.125" bestFit="1" customWidth="1"/>
  </cols>
  <sheetData>
    <row r="1" spans="1:9" ht="28.5" x14ac:dyDescent="0.25">
      <c r="A1" s="2" t="s">
        <v>12</v>
      </c>
      <c r="B1" s="7" t="s">
        <v>52</v>
      </c>
    </row>
    <row r="2" spans="1:9" ht="20.25" x14ac:dyDescent="0.25">
      <c r="A2" s="2" t="s">
        <v>13</v>
      </c>
    </row>
    <row r="3" spans="1:9" ht="18.75" x14ac:dyDescent="0.25">
      <c r="B3" s="1" t="s">
        <v>53</v>
      </c>
      <c r="C3" s="9" t="s">
        <v>43</v>
      </c>
      <c r="D3" s="9" t="s">
        <v>44</v>
      </c>
      <c r="E3" s="9" t="s">
        <v>5</v>
      </c>
      <c r="G3" s="9" t="s">
        <v>43</v>
      </c>
      <c r="H3" s="9" t="s">
        <v>44</v>
      </c>
      <c r="I3" s="9" t="s">
        <v>5</v>
      </c>
    </row>
    <row r="4" spans="1:9" ht="18.75" x14ac:dyDescent="0.25">
      <c r="C4" s="10" t="s">
        <v>45</v>
      </c>
      <c r="D4" s="10" t="s">
        <v>27</v>
      </c>
      <c r="E4" s="10" t="s">
        <v>7</v>
      </c>
      <c r="G4" s="10" t="s">
        <v>45</v>
      </c>
      <c r="H4" s="10" t="s">
        <v>27</v>
      </c>
      <c r="I4" s="10" t="str">
        <f>VLOOKUP(G4,$C$3:$E$7,3,)</f>
        <v>IT</v>
      </c>
    </row>
    <row r="5" spans="1:9" ht="28.5" x14ac:dyDescent="0.25">
      <c r="B5" s="11" t="s">
        <v>54</v>
      </c>
      <c r="C5" s="10" t="s">
        <v>46</v>
      </c>
      <c r="D5" s="10" t="s">
        <v>25</v>
      </c>
      <c r="E5" s="10" t="s">
        <v>8</v>
      </c>
      <c r="G5" s="10" t="s">
        <v>46</v>
      </c>
      <c r="H5" s="10" t="s">
        <v>25</v>
      </c>
      <c r="I5" s="10" t="str">
        <f t="shared" ref="I5:I7" si="0">VLOOKUP(G5,$C$3:$E$7,3,)</f>
        <v>HR</v>
      </c>
    </row>
    <row r="6" spans="1:9" ht="18.75" x14ac:dyDescent="0.25">
      <c r="C6" s="10" t="s">
        <v>47</v>
      </c>
      <c r="D6" s="10" t="s">
        <v>48</v>
      </c>
      <c r="E6" s="10" t="s">
        <v>49</v>
      </c>
      <c r="G6" s="10" t="s">
        <v>47</v>
      </c>
      <c r="H6" s="10" t="s">
        <v>48</v>
      </c>
      <c r="I6" s="10" t="str">
        <f>VLOOKUP(G6,$C$3:$E$7,3,)</f>
        <v>Finance</v>
      </c>
    </row>
    <row r="7" spans="1:9" ht="18.75" x14ac:dyDescent="0.25">
      <c r="C7" s="10" t="s">
        <v>50</v>
      </c>
      <c r="D7" s="10" t="s">
        <v>51</v>
      </c>
      <c r="E7" s="10" t="s">
        <v>31</v>
      </c>
      <c r="G7" s="10" t="s">
        <v>50</v>
      </c>
      <c r="H7" s="10" t="s">
        <v>51</v>
      </c>
      <c r="I7" s="10" t="str">
        <f t="shared" si="0"/>
        <v>Sales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C980-DB83-45C9-B258-054306BD8EDE}">
  <dimension ref="A1:E13"/>
  <sheetViews>
    <sheetView workbookViewId="0">
      <selection activeCell="E13" sqref="E13"/>
    </sheetView>
  </sheetViews>
  <sheetFormatPr defaultRowHeight="15" x14ac:dyDescent="0.2"/>
  <cols>
    <col min="1" max="1" width="16.27734375" bestFit="1" customWidth="1"/>
    <col min="2" max="2" width="78.6953125" bestFit="1" customWidth="1"/>
    <col min="3" max="3" width="13.046875" bestFit="1" customWidth="1"/>
    <col min="4" max="4" width="16.27734375" bestFit="1" customWidth="1"/>
    <col min="5" max="5" width="62.1484375" bestFit="1" customWidth="1"/>
    <col min="6" max="6" width="7.93359375" bestFit="1" customWidth="1"/>
    <col min="7" max="7" width="11.43359375" bestFit="1" customWidth="1"/>
  </cols>
  <sheetData>
    <row r="1" spans="1:5" ht="55.5" x14ac:dyDescent="0.25">
      <c r="A1" s="2" t="s">
        <v>14</v>
      </c>
      <c r="B1" s="4" t="s">
        <v>58</v>
      </c>
    </row>
    <row r="2" spans="1:5" ht="20.25" x14ac:dyDescent="0.25">
      <c r="A2" s="2" t="s">
        <v>15</v>
      </c>
      <c r="E2" s="1">
        <v>45000</v>
      </c>
    </row>
    <row r="5" spans="1:5" x14ac:dyDescent="0.2">
      <c r="C5" s="12" t="s">
        <v>55</v>
      </c>
      <c r="D5" s="13" t="s">
        <v>56</v>
      </c>
      <c r="E5" s="13" t="s">
        <v>57</v>
      </c>
    </row>
    <row r="6" spans="1:5" x14ac:dyDescent="0.2">
      <c r="C6" s="14">
        <v>0</v>
      </c>
      <c r="D6" s="15">
        <v>0.05</v>
      </c>
      <c r="E6" s="16">
        <f>VLOOKUP(E2,$C$6:$D$9,2,TRUE)</f>
        <v>0.1</v>
      </c>
    </row>
    <row r="7" spans="1:5" x14ac:dyDescent="0.2">
      <c r="C7" s="14">
        <v>20000</v>
      </c>
      <c r="D7" s="15">
        <v>0.1</v>
      </c>
    </row>
    <row r="8" spans="1:5" x14ac:dyDescent="0.2">
      <c r="C8" s="14">
        <v>50000</v>
      </c>
      <c r="D8" s="15">
        <v>0.15</v>
      </c>
    </row>
    <row r="9" spans="1:5" x14ac:dyDescent="0.2">
      <c r="C9" s="14">
        <v>80000</v>
      </c>
      <c r="D9" s="15">
        <v>0.2</v>
      </c>
    </row>
    <row r="13" spans="1:5" x14ac:dyDescent="0.2">
      <c r="E13" s="1" t="s">
        <v>59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C7B2-F33C-42D8-BED1-76E75AB8F7B3}">
  <dimension ref="A1:G20"/>
  <sheetViews>
    <sheetView workbookViewId="0"/>
  </sheetViews>
  <sheetFormatPr defaultRowHeight="15" x14ac:dyDescent="0.2"/>
  <cols>
    <col min="1" max="1" width="16.27734375" bestFit="1" customWidth="1"/>
    <col min="2" max="2" width="82.05859375" customWidth="1"/>
    <col min="4" max="4" width="14.9296875" bestFit="1" customWidth="1"/>
    <col min="5" max="5" width="11.8359375" bestFit="1" customWidth="1"/>
    <col min="6" max="6" width="13.71875" bestFit="1" customWidth="1"/>
  </cols>
  <sheetData>
    <row r="1" spans="1:7" ht="94.5" x14ac:dyDescent="0.2">
      <c r="A1" s="18" t="s">
        <v>16</v>
      </c>
      <c r="B1" s="4" t="s">
        <v>60</v>
      </c>
    </row>
    <row r="2" spans="1:7" ht="20.25" x14ac:dyDescent="0.25">
      <c r="A2" s="2" t="s">
        <v>17</v>
      </c>
    </row>
    <row r="4" spans="1:7" x14ac:dyDescent="0.2">
      <c r="B4" s="1"/>
      <c r="D4" s="6" t="s">
        <v>61</v>
      </c>
      <c r="E4" s="6" t="s">
        <v>62</v>
      </c>
      <c r="F4" s="6" t="s">
        <v>63</v>
      </c>
      <c r="G4" s="6" t="s">
        <v>67</v>
      </c>
    </row>
    <row r="5" spans="1:7" x14ac:dyDescent="0.2">
      <c r="D5" s="5" t="s">
        <v>64</v>
      </c>
      <c r="E5" s="5">
        <v>10</v>
      </c>
      <c r="F5" s="5">
        <v>12</v>
      </c>
      <c r="G5" s="6" t="str">
        <f>IF(E5&gt;F5,"Exceeded","OK")</f>
        <v>OK</v>
      </c>
    </row>
    <row r="6" spans="1:7" x14ac:dyDescent="0.2">
      <c r="D6" s="5" t="s">
        <v>65</v>
      </c>
      <c r="E6" s="5">
        <v>10</v>
      </c>
      <c r="F6" s="5">
        <v>15</v>
      </c>
      <c r="G6" s="6" t="str">
        <f t="shared" ref="G6:G7" si="0">IF(E6&gt;F6,"Exceeded","OK")</f>
        <v>OK</v>
      </c>
    </row>
    <row r="7" spans="1:7" x14ac:dyDescent="0.2">
      <c r="D7" s="5" t="s">
        <v>66</v>
      </c>
      <c r="E7" s="5">
        <v>8</v>
      </c>
      <c r="F7" s="5">
        <v>12</v>
      </c>
      <c r="G7" s="6" t="str">
        <f t="shared" si="0"/>
        <v>OK</v>
      </c>
    </row>
    <row r="8" spans="1:7" x14ac:dyDescent="0.2">
      <c r="B8" s="1"/>
      <c r="D8" s="1"/>
    </row>
    <row r="12" spans="1:7" x14ac:dyDescent="0.2">
      <c r="B12" s="1"/>
      <c r="D12" s="1"/>
    </row>
    <row r="16" spans="1:7" x14ac:dyDescent="0.2">
      <c r="B16" s="1"/>
      <c r="D16" s="1"/>
    </row>
    <row r="20" spans="2:4" x14ac:dyDescent="0.2">
      <c r="B20" s="1"/>
      <c r="D20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DB8E-83A2-4377-875F-6B130926BBB9}">
  <dimension ref="A1:E13"/>
  <sheetViews>
    <sheetView workbookViewId="0">
      <selection activeCell="D18" sqref="D18"/>
    </sheetView>
  </sheetViews>
  <sheetFormatPr defaultRowHeight="15" x14ac:dyDescent="0.2"/>
  <cols>
    <col min="1" max="1" width="21.1171875" customWidth="1"/>
    <col min="2" max="2" width="87.16796875" bestFit="1" customWidth="1"/>
    <col min="3" max="3" width="22.59765625" bestFit="1" customWidth="1"/>
    <col min="4" max="4" width="10.35546875" bestFit="1" customWidth="1"/>
    <col min="5" max="5" width="16.140625" bestFit="1" customWidth="1"/>
  </cols>
  <sheetData>
    <row r="1" spans="1:5" ht="20.25" x14ac:dyDescent="0.25">
      <c r="A1" s="2" t="s">
        <v>18</v>
      </c>
      <c r="B1" s="1" t="s">
        <v>68</v>
      </c>
    </row>
    <row r="2" spans="1:5" ht="20.25" x14ac:dyDescent="0.25">
      <c r="A2" s="2" t="s">
        <v>19</v>
      </c>
    </row>
    <row r="3" spans="1:5" x14ac:dyDescent="0.2">
      <c r="C3" s="6" t="s">
        <v>43</v>
      </c>
      <c r="D3" s="6" t="s">
        <v>6</v>
      </c>
      <c r="E3" s="1"/>
    </row>
    <row r="4" spans="1:5" x14ac:dyDescent="0.2">
      <c r="C4" s="5" t="s">
        <v>50</v>
      </c>
      <c r="D4" s="5">
        <v>55000</v>
      </c>
    </row>
    <row r="5" spans="1:5" x14ac:dyDescent="0.2">
      <c r="C5" s="5" t="s">
        <v>69</v>
      </c>
      <c r="D5" s="5">
        <v>72000</v>
      </c>
    </row>
    <row r="6" spans="1:5" x14ac:dyDescent="0.2">
      <c r="C6" s="5" t="s">
        <v>70</v>
      </c>
      <c r="D6" s="5">
        <v>62000</v>
      </c>
    </row>
    <row r="7" spans="1:5" x14ac:dyDescent="0.2">
      <c r="C7" s="5" t="s">
        <v>46</v>
      </c>
      <c r="D7" s="5">
        <v>41000</v>
      </c>
    </row>
    <row r="9" spans="1:5" x14ac:dyDescent="0.2">
      <c r="C9" s="6" t="s">
        <v>43</v>
      </c>
      <c r="D9" s="6" t="s">
        <v>6</v>
      </c>
    </row>
    <row r="10" spans="1:5" x14ac:dyDescent="0.2">
      <c r="C10" s="5" t="s">
        <v>50</v>
      </c>
      <c r="D10" s="5">
        <f>INDEX(D3:D7,MATCH(C10,C3:C7,0))</f>
        <v>55000</v>
      </c>
    </row>
    <row r="11" spans="1:5" x14ac:dyDescent="0.2">
      <c r="C11" s="17" t="s">
        <v>69</v>
      </c>
      <c r="D11" s="17">
        <f>INDEX(D4:D8,MATCH(C11,C4:C8,0))</f>
        <v>72000</v>
      </c>
    </row>
    <row r="12" spans="1:5" x14ac:dyDescent="0.2">
      <c r="C12" s="5" t="s">
        <v>70</v>
      </c>
      <c r="D12" s="5">
        <f t="shared" ref="D11:D13" si="0">INDEX(D5:D9,MATCH(C12,C5:C9,0))</f>
        <v>62000</v>
      </c>
    </row>
    <row r="13" spans="1:5" x14ac:dyDescent="0.2">
      <c r="C13" s="5" t="s">
        <v>46</v>
      </c>
      <c r="D13" s="5">
        <f t="shared" si="0"/>
        <v>41000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C621-B0DB-44A7-AA18-62DC52762100}">
  <dimension ref="A1:D14"/>
  <sheetViews>
    <sheetView workbookViewId="0">
      <selection activeCell="E7" sqref="E7"/>
    </sheetView>
  </sheetViews>
  <sheetFormatPr defaultRowHeight="15" x14ac:dyDescent="0.2"/>
  <cols>
    <col min="1" max="1" width="16.27734375" bestFit="1" customWidth="1"/>
    <col min="2" max="2" width="85.5546875" bestFit="1" customWidth="1"/>
    <col min="3" max="3" width="31.87890625" customWidth="1"/>
    <col min="4" max="4" width="15.46875" bestFit="1" customWidth="1"/>
  </cols>
  <sheetData>
    <row r="1" spans="1:4" ht="20.25" x14ac:dyDescent="0.25">
      <c r="A1" s="2" t="s">
        <v>20</v>
      </c>
      <c r="B1" s="1" t="s">
        <v>71</v>
      </c>
    </row>
    <row r="2" spans="1:4" ht="20.25" x14ac:dyDescent="0.25">
      <c r="A2" s="2" t="s">
        <v>21</v>
      </c>
    </row>
    <row r="4" spans="1:4" x14ac:dyDescent="0.2">
      <c r="C4" s="6" t="s">
        <v>43</v>
      </c>
      <c r="D4" s="6" t="s">
        <v>5</v>
      </c>
    </row>
    <row r="5" spans="1:4" x14ac:dyDescent="0.2">
      <c r="C5" s="5" t="s">
        <v>45</v>
      </c>
      <c r="D5" s="5" t="s">
        <v>8</v>
      </c>
    </row>
    <row r="6" spans="1:4" x14ac:dyDescent="0.2">
      <c r="C6" s="5" t="s">
        <v>72</v>
      </c>
      <c r="D6" s="5" t="s">
        <v>7</v>
      </c>
    </row>
    <row r="7" spans="1:4" x14ac:dyDescent="0.2">
      <c r="C7" s="5" t="s">
        <v>70</v>
      </c>
      <c r="D7" s="5" t="s">
        <v>31</v>
      </c>
    </row>
    <row r="8" spans="1:4" x14ac:dyDescent="0.2">
      <c r="C8" s="5" t="s">
        <v>73</v>
      </c>
      <c r="D8" s="5" t="s">
        <v>49</v>
      </c>
    </row>
    <row r="10" spans="1:4" x14ac:dyDescent="0.2">
      <c r="C10" s="6" t="s">
        <v>43</v>
      </c>
      <c r="D10" s="6" t="s">
        <v>5</v>
      </c>
    </row>
    <row r="11" spans="1:4" x14ac:dyDescent="0.2">
      <c r="C11" s="5" t="s">
        <v>45</v>
      </c>
      <c r="D11" s="5" t="str">
        <f>_xlfn.XLOOKUP(C11,C4:C8,D4:D8,2,0)</f>
        <v>HR</v>
      </c>
    </row>
    <row r="12" spans="1:4" x14ac:dyDescent="0.2">
      <c r="C12" s="17" t="s">
        <v>72</v>
      </c>
      <c r="D12" s="17" t="str">
        <f>_xlfn.XLOOKUP(C12,C5:C9,D5:D9,2,0)</f>
        <v>IT</v>
      </c>
    </row>
    <row r="13" spans="1:4" x14ac:dyDescent="0.2">
      <c r="C13" s="5" t="s">
        <v>70</v>
      </c>
      <c r="D13" s="5" t="str">
        <f t="shared" ref="D12:D14" si="0">_xlfn.XLOOKUP(C13,C6:C10,D6:D10,2,0)</f>
        <v>Sales</v>
      </c>
    </row>
    <row r="14" spans="1:4" x14ac:dyDescent="0.2">
      <c r="C14" s="5" t="s">
        <v>73</v>
      </c>
      <c r="D14" s="5" t="str">
        <f t="shared" si="0"/>
        <v>Finance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 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Khandelwal</dc:creator>
  <cp:lastModifiedBy>Mudit Khandelwal</cp:lastModifiedBy>
  <dcterms:created xsi:type="dcterms:W3CDTF">2025-12-17T06:06:03Z</dcterms:created>
  <dcterms:modified xsi:type="dcterms:W3CDTF">2025-12-19T07:42:07Z</dcterms:modified>
</cp:coreProperties>
</file>