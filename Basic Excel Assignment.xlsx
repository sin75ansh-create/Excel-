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efa8b916005b48/Documents/DA/Excel/Assignments/"/>
    </mc:Choice>
  </mc:AlternateContent>
  <xr:revisionPtr revIDLastSave="0" documentId="8_{054B371D-83BF-E346-A53F-810CA3779BE6}" xr6:coauthVersionLast="47" xr6:coauthVersionMax="47" xr10:uidLastSave="{00000000-0000-0000-0000-000000000000}"/>
  <bookViews>
    <workbookView xWindow="-108" yWindow="-108" windowWidth="23256" windowHeight="12456" firstSheet="3" activeTab="3" xr2:uid="{62309DD9-831A-412E-9FA3-07B185AD3746}"/>
  </bookViews>
  <sheets>
    <sheet name="Assignment" sheetId="1" r:id="rId1"/>
    <sheet name="Question - 1" sheetId="2" r:id="rId2"/>
    <sheet name="Question-2" sheetId="3" r:id="rId3"/>
    <sheet name="Question-3" sheetId="4" r:id="rId4"/>
    <sheet name="Question-4" sheetId="5" r:id="rId5"/>
    <sheet name="Question-5" sheetId="6" r:id="rId6"/>
    <sheet name="Question-6" sheetId="7" r:id="rId7"/>
    <sheet name="Question-7" sheetId="8" r:id="rId8"/>
    <sheet name="Question-8" sheetId="9" r:id="rId9"/>
  </sheets>
  <calcPr calcId="191028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C12" i="3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3" i="9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3" i="7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" i="6"/>
  <c r="L3" i="7"/>
  <c r="C13" i="3"/>
  <c r="C11" i="4"/>
  <c r="C14" i="3"/>
</calcChain>
</file>

<file path=xl/sharedStrings.xml><?xml version="1.0" encoding="utf-8"?>
<sst xmlns="http://schemas.openxmlformats.org/spreadsheetml/2006/main" count="549" uniqueCount="129">
  <si>
    <t>Q1.</t>
  </si>
  <si>
    <t>Explain the difference between Relative , Absolute and Mixed Cell Referencing._x000B_</t>
  </si>
  <si>
    <t>Ans-</t>
  </si>
  <si>
    <t>A relative reference is a cell reference that changes relative to the position of the formula when copied to another cell. It's like a "relative" address that adjusts based on the new location.</t>
  </si>
  <si>
    <t>Examples:</t>
  </si>
  <si>
    <t>- =A1 (if copied to B2, becomes =B2)</t>
  </si>
  <si>
    <t>- =SUM(A1:B2) (if copied to C3:D4, becomes =SUM(C3:D4))</t>
  </si>
  <si>
    <t>Absolute Cell Reference</t>
  </si>
  <si>
    <t>An absolute reference is a cell reference that remains fixed, even when a formula is copied to another cell. It's like an "absolute" address that doesn't change.</t>
  </si>
  <si>
    <t>- =$A$1 (remains =$A$1 wherever copied)</t>
  </si>
  <si>
    <t>- =A$1*$B$2 (the references to A1 and B2 remain fixed)</t>
  </si>
  <si>
    <t>Mixed Cell Reference</t>
  </si>
  <si>
    <t xml:space="preserve">Relative Cell Reference </t>
  </si>
  <si>
    <t>A mixed reference has either the column or row fixed, while the other part is relative.</t>
  </si>
  <si>
    <t>- =$A1 (column A is fixed, row changes)</t>
  </si>
  <si>
    <t>- =A$1 (row 1 is fixed, column changes)</t>
  </si>
  <si>
    <t>- =SUM($A1:B$2) (column A and row 2 are fixed)</t>
  </si>
  <si>
    <t>The difference between Relative , Absolute and Mixed Cell Referencing._x000B_</t>
  </si>
  <si>
    <t>If you copy the formula in C3 to D4</t>
  </si>
  <si>
    <t>If Cell Reference is</t>
  </si>
  <si>
    <t>Absolute (=$A$1+$B$1): remains =$A$1+$B$1</t>
  </si>
  <si>
    <t>Mixed (=$A1+B$1): becomes =$A2+C$1</t>
  </si>
  <si>
    <t>Relative (=A1+B1): becomes =B2+C2</t>
  </si>
  <si>
    <t>Write a formula to calculate the total sales of Car and Bicyle only only.</t>
  </si>
  <si>
    <t>Q2.</t>
  </si>
  <si>
    <t>You have the following dataset:</t>
  </si>
  <si>
    <t>Vehicle</t>
  </si>
  <si>
    <t>Auto-Rickshaw</t>
  </si>
  <si>
    <t>Price</t>
  </si>
  <si>
    <t xml:space="preserve"> Total sales of Car -</t>
  </si>
  <si>
    <t>Solution-</t>
  </si>
  <si>
    <t>Car</t>
  </si>
  <si>
    <t>Bicycle</t>
  </si>
  <si>
    <t xml:space="preserve"> Total sales of Bicycle -</t>
  </si>
  <si>
    <t xml:space="preserve"> Total sales of Car and Bicycle -</t>
  </si>
  <si>
    <t>Q3.</t>
  </si>
  <si>
    <t>Item</t>
  </si>
  <si>
    <t>Item A</t>
  </si>
  <si>
    <t>Item B</t>
  </si>
  <si>
    <t>Item C</t>
  </si>
  <si>
    <t>Sales</t>
  </si>
  <si>
    <t>Using the data below, write a formula to calculate the average sales of items priced above 100 but less than 300 ?</t>
  </si>
  <si>
    <t>Solution -</t>
  </si>
  <si>
    <t xml:space="preserve"> Average sales of items priced above 100 but less than 300 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</si>
  <si>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</si>
  <si>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</si>
  <si>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</si>
  <si>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</si>
  <si>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</si>
  <si>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</si>
  <si>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</si>
  <si>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</si>
  <si>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</si>
  <si>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</si>
  <si>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</si>
  <si>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</si>
  <si>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</si>
  <si>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</si>
  <si>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</si>
  <si>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</si>
  <si>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</si>
  <si>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</si>
  <si>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</si>
  <si>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</si>
  <si>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</si>
  <si>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</si>
  <si>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</si>
  <si>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</si>
  <si>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</si>
  <si>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</si>
  <si>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</si>
  <si>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</si>
  <si>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</si>
  <si>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</si>
  <si>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</si>
  <si>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</si>
  <si>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</si>
  <si>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</si>
  <si>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</si>
  <si>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</si>
  <si>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</si>
  <si>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</si>
  <si>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</si>
  <si>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</si>
  <si>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</si>
  <si>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</si>
  <si>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</si>
  <si>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</si>
  <si>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</si>
  <si>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</si>
  <si>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</si>
  <si>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</si>
  <si>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</si>
  <si>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</si>
  <si>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</si>
  <si>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</si>
  <si>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</si>
  <si>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</si>
  <si>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</si>
  <si>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</si>
  <si>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</si>
  <si>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</si>
  <si>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</si>
  <si>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</si>
  <si>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</si>
  <si>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</si>
  <si>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</si>
  <si>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</si>
  <si>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</si>
  <si>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</si>
  <si>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Q4.</t>
  </si>
  <si>
    <t>Count how many customer names are recorded ?</t>
  </si>
  <si>
    <t>Ans</t>
  </si>
  <si>
    <t>Q5.</t>
  </si>
  <si>
    <t>Calculate the Total Sales for each row using a formula.</t>
  </si>
  <si>
    <t>Q7.</t>
  </si>
  <si>
    <t>Calculate the total sales of Notebooks in the North region only.</t>
  </si>
  <si>
    <t>Q6.</t>
  </si>
  <si>
    <t>Total Sales Of Each Row</t>
  </si>
  <si>
    <t>Total Sales</t>
  </si>
  <si>
    <t>Create a column chart showing total sales by product.</t>
  </si>
  <si>
    <t>Ans -</t>
  </si>
  <si>
    <t>Insert a line chart showing daily sales trend.</t>
  </si>
  <si>
    <t>Row Labels</t>
  </si>
  <si>
    <t>Grand Total</t>
  </si>
  <si>
    <t>Sum of Total Sales</t>
  </si>
  <si>
    <t>Q8.</t>
  </si>
  <si>
    <t>BASIC EXCEL ASSIGNMENT</t>
  </si>
  <si>
    <t>Condition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</si>
</sst>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48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6" fillId="0" borderId="0" xfId="0" applyFont="1"/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right" wrapText="1"/>
    </xf>
    <xf numFmtId="0" fontId="9" fillId="0" borderId="2" xfId="0" applyFont="1" applyBorder="1" applyAlignment="1">
      <alignment wrapText="1"/>
    </xf>
    <xf numFmtId="14" fontId="9" fillId="0" borderId="2" xfId="0" applyNumberFormat="1" applyFont="1" applyBorder="1" applyAlignment="1">
      <alignment horizontal="right" wrapText="1"/>
    </xf>
    <xf numFmtId="0" fontId="11" fillId="0" borderId="3" xfId="0" applyFont="1" applyBorder="1" applyAlignment="1">
      <alignment horizontal="right" wrapText="1"/>
    </xf>
    <xf numFmtId="0" fontId="11" fillId="0" borderId="0" xfId="0" applyFont="1" applyAlignment="1">
      <alignment horizontal="right" wrapText="1"/>
    </xf>
    <xf numFmtId="0" fontId="10" fillId="0" borderId="3" xfId="0" applyFont="1" applyBorder="1" applyAlignment="1">
      <alignment horizontal="right" wrapText="1"/>
    </xf>
    <xf numFmtId="0" fontId="8" fillId="0" borderId="3" xfId="0" applyFont="1" applyBorder="1"/>
    <xf numFmtId="0" fontId="8" fillId="0" borderId="4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pivotCacheDefinition" Target="pivotCache/pivotCacheDefinition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calcChain" Target="calcChain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 Excel Assignment.xlsx]Question-7!PivotTable1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'Question-7'!$C$2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'Question-7'!$B$3:$B$8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'Question-7'!$C$3:$C$8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D-46F3-9254-ACDA43274F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13702176"/>
        <c:axId val="913700256"/>
        <c:axId val="0"/>
      </c:bar3DChart>
      <c:catAx>
        <c:axId val="91370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700256"/>
        <c:crosses val="autoZero"/>
        <c:auto val="1"/>
        <c:lblAlgn val="ctr"/>
        <c:lblOffset val="100"/>
        <c:noMultiLvlLbl val="0"/>
      </c:catAx>
      <c:valAx>
        <c:axId val="91370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7021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'Question-8'!$C$2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'Question-8'!$B$3:$B$52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'Question-8'!$C$3:$C$52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83-4467-9807-57351A8B07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17239567"/>
        <c:axId val="1817237647"/>
        <c:axId val="1748569119"/>
      </c:line3DChart>
      <c:dateAx>
        <c:axId val="18172395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237647"/>
        <c:crosses val="autoZero"/>
        <c:auto val="1"/>
        <c:lblOffset val="100"/>
        <c:baseTimeUnit val="days"/>
      </c:dateAx>
      <c:valAx>
        <c:axId val="1817237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239567"/>
        <c:crosses val="autoZero"/>
        <c:crossBetween val="between"/>
      </c:valAx>
      <c:serAx>
        <c:axId val="174856911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23764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customXml" Target="../ink/ink3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548640</xdr:colOff>
      <xdr:row>25</xdr:row>
      <xdr:rowOff>91320</xdr:rowOff>
    </xdr:from>
    <xdr:to>
      <xdr:col>0</xdr:col>
      <xdr:colOff>549000</xdr:colOff>
      <xdr:row>25</xdr:row>
      <xdr:rowOff>91680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03F8CCC-E0B6-126F-7AC7-B15D6F4E72FB}"/>
                </a:ext>
              </a:extLst>
            </xdr14:cNvPr>
            <xdr14:cNvContentPartPr/>
          </xdr14:nvContentPartPr>
          <xdr14:nvPr macro=""/>
          <xdr14:xfrm>
            <a:off x="548640" y="496050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03F8CCC-E0B6-126F-7AC7-B15D6F4E72F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42520" y="49543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556200</xdr:colOff>
      <xdr:row>26</xdr:row>
      <xdr:rowOff>129480</xdr:rowOff>
    </xdr:from>
    <xdr:to>
      <xdr:col>0</xdr:col>
      <xdr:colOff>556560</xdr:colOff>
      <xdr:row>26</xdr:row>
      <xdr:rowOff>129840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44719D1-AF13-C548-7A6A-E787E23AAB41}"/>
                </a:ext>
              </a:extLst>
            </xdr14:cNvPr>
            <xdr14:cNvContentPartPr/>
          </xdr14:nvContentPartPr>
          <xdr14:nvPr macro=""/>
          <xdr14:xfrm>
            <a:off x="556200" y="518154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44719D1-AF13-C548-7A6A-E787E23AAB4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50080" y="51754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556200</xdr:colOff>
      <xdr:row>27</xdr:row>
      <xdr:rowOff>106440</xdr:rowOff>
    </xdr:from>
    <xdr:to>
      <xdr:col>0</xdr:col>
      <xdr:colOff>556560</xdr:colOff>
      <xdr:row>27</xdr:row>
      <xdr:rowOff>106800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ED7B285-60CC-4AA4-ABC4-2685BCA15A82}"/>
                </a:ext>
              </a:extLst>
            </xdr14:cNvPr>
            <xdr14:cNvContentPartPr/>
          </xdr14:nvContentPartPr>
          <xdr14:nvPr macro=""/>
          <xdr14:xfrm>
            <a:off x="556200" y="534138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ED7B285-60CC-4AA4-ABC4-2685BCA15A8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50080" y="53352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2</xdr:row>
      <xdr:rowOff>99060</xdr:rowOff>
    </xdr:from>
    <xdr:to>
      <xdr:col>13</xdr:col>
      <xdr:colOff>91440</xdr:colOff>
      <xdr:row>17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ECA56D-526C-E9E1-847F-3056A19DF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2</xdr:row>
      <xdr:rowOff>91440</xdr:rowOff>
    </xdr:from>
    <xdr:to>
      <xdr:col>14</xdr:col>
      <xdr:colOff>205740</xdr:colOff>
      <xdr:row>16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325A81-EEF2-1502-AC68-F674BF373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5T14:43:16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5T14:43:22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5T14:43:27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UTI TRIPATHI" refreshedDate="45997.733411458335" createdVersion="8" refreshedVersion="8" minRefreshableVersion="3" recordCount="50" xr:uid="{EC6BF438-222F-4470-87E3-54EEFF0DE489}">
  <cacheSource type="worksheet">
    <worksheetSource ref="B2:I52" sheet="Question-6"/>
  </cacheSource>
  <cacheFields count="10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14">
      <sharedItems containsSemiMixedTypes="0" containsNonDate="0" containsDate="1" containsString="0" minDate="2024-01-05T00:00:00" maxDate="2024-03-09T00:00:00" count="50">
        <d v="2024-01-05T00:00:00"/>
        <d v="2024-01-06T00:00:00"/>
        <d v="2024-01-07T00:00:00"/>
        <d v="2024-01-08T00:00:00"/>
        <d v="2024-01-10T00:00:00"/>
        <d v="2024-01-11T00:00:00"/>
        <d v="2024-01-13T00:00:00"/>
        <d v="2024-01-15T00:00:00"/>
        <d v="2024-01-17T00:00:00"/>
        <d v="2024-01-18T00:00:00"/>
        <d v="2024-01-19T00:00:00"/>
        <d v="2024-01-20T00:00:00"/>
        <d v="2024-01-22T00:00:00"/>
        <d v="2024-01-23T00:00:00"/>
        <d v="2024-01-24T00:00:00"/>
        <d v="2024-01-26T00:00:00"/>
        <d v="2024-01-28T00:00:00"/>
        <d v="2024-01-29T00:00:00"/>
        <d v="2024-01-30T00:00:00"/>
        <d v="2024-02-01T00:00:00"/>
        <d v="2024-02-02T00:00:00"/>
        <d v="2024-02-03T00:00:00"/>
        <d v="2024-02-04T00:00:00"/>
        <d v="2024-02-06T00:00:00"/>
        <d v="2024-02-07T00:00:00"/>
        <d v="2024-02-08T00:00:00"/>
        <d v="2024-02-09T00:00:00"/>
        <d v="2024-02-10T00:00:00"/>
        <d v="2024-02-12T00:00:00"/>
        <d v="2024-02-13T00:00:00"/>
        <d v="2024-02-14T00:00:00"/>
        <d v="2024-02-16T00:00:00"/>
        <d v="2024-02-17T00:00:00"/>
        <d v="2024-02-18T00:00:00"/>
        <d v="2024-02-19T00:00:00"/>
        <d v="2024-02-21T00:00:00"/>
        <d v="2024-02-22T00:00:00"/>
        <d v="2024-02-23T00:00:00"/>
        <d v="2024-02-25T00:00:00"/>
        <d v="2024-02-26T00:00:00"/>
        <d v="2024-02-27T00:00:00"/>
        <d v="2024-02-28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</sharedItems>
      <fieldGroup par="9"/>
    </cacheField>
    <cacheField name="Total Sales" numFmtId="0">
      <sharedItems containsSemiMixedTypes="0" containsString="0" containsNumber="1" containsInteger="1" minValue="90" maxValue="850"/>
    </cacheField>
    <cacheField name="Days (OrderDate)" numFmtId="0" databaseField="0">
      <fieldGroup base="6">
        <rangePr groupBy="days" startDate="2024-01-05T00:00:00" endDate="2024-03-09T00:00:00"/>
        <groupItems count="368">
          <s v="&lt;05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9-03-2024"/>
        </groupItems>
      </fieldGroup>
    </cacheField>
    <cacheField name="Months (OrderDate)" numFmtId="0" databaseField="0">
      <fieldGroup base="6">
        <rangePr groupBy="months" startDate="2024-01-05T00:00:00" endDate="2024-03-09T00:00:00"/>
        <groupItems count="14">
          <s v="&lt;05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3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x v="0"/>
    <x v="0"/>
    <n v="10"/>
    <n v="50"/>
    <x v="0"/>
    <n v="500"/>
  </r>
  <r>
    <n v="1002"/>
    <s v="Neha Verma"/>
    <x v="1"/>
    <x v="1"/>
    <n v="20"/>
    <n v="10"/>
    <x v="1"/>
    <n v="200"/>
  </r>
  <r>
    <n v="1003"/>
    <s v="Rahul Singh"/>
    <x v="2"/>
    <x v="2"/>
    <n v="15"/>
    <n v="25"/>
    <x v="2"/>
    <n v="375"/>
  </r>
  <r>
    <n v="1004"/>
    <s v="Pooja Mehta"/>
    <x v="3"/>
    <x v="0"/>
    <n v="5"/>
    <n v="50"/>
    <x v="3"/>
    <n v="250"/>
  </r>
  <r>
    <n v="1005"/>
    <s v="Ankit Jain"/>
    <x v="0"/>
    <x v="3"/>
    <n v="30"/>
    <n v="5"/>
    <x v="4"/>
    <n v="150"/>
  </r>
  <r>
    <n v="1006"/>
    <s v="Sneha Patel"/>
    <x v="1"/>
    <x v="0"/>
    <n v="12"/>
    <n v="50"/>
    <x v="5"/>
    <n v="600"/>
  </r>
  <r>
    <n v="1007"/>
    <s v="Vikas Gupta"/>
    <x v="2"/>
    <x v="4"/>
    <n v="25"/>
    <n v="8"/>
    <x v="6"/>
    <n v="200"/>
  </r>
  <r>
    <n v="1008"/>
    <s v="Meera Nair"/>
    <x v="3"/>
    <x v="1"/>
    <n v="18"/>
    <n v="10"/>
    <x v="7"/>
    <n v="180"/>
  </r>
  <r>
    <n v="1009"/>
    <s v="Anjali Rao"/>
    <x v="0"/>
    <x v="2"/>
    <n v="22"/>
    <n v="25"/>
    <x v="8"/>
    <n v="550"/>
  </r>
  <r>
    <n v="1010"/>
    <s v="Manoj Das"/>
    <x v="1"/>
    <x v="0"/>
    <n v="8"/>
    <n v="50"/>
    <x v="9"/>
    <n v="400"/>
  </r>
  <r>
    <n v="1011"/>
    <s v="Ritika Sen"/>
    <x v="2"/>
    <x v="3"/>
    <n v="40"/>
    <n v="5"/>
    <x v="10"/>
    <n v="200"/>
  </r>
  <r>
    <n v="1012"/>
    <s v="Karan Malhotra"/>
    <x v="3"/>
    <x v="4"/>
    <n v="35"/>
    <n v="8"/>
    <x v="11"/>
    <n v="280"/>
  </r>
  <r>
    <n v="1013"/>
    <s v="Aryan Joshi"/>
    <x v="0"/>
    <x v="0"/>
    <n v="14"/>
    <n v="50"/>
    <x v="12"/>
    <n v="700"/>
  </r>
  <r>
    <n v="1014"/>
    <s v="Divya Kapoor"/>
    <x v="1"/>
    <x v="1"/>
    <n v="28"/>
    <n v="10"/>
    <x v="13"/>
    <n v="280"/>
  </r>
  <r>
    <n v="1015"/>
    <s v="Sahil Arora"/>
    <x v="2"/>
    <x v="2"/>
    <n v="12"/>
    <n v="25"/>
    <x v="14"/>
    <n v="300"/>
  </r>
  <r>
    <n v="1016"/>
    <s v="Muskan Jain"/>
    <x v="3"/>
    <x v="3"/>
    <n v="25"/>
    <n v="5"/>
    <x v="15"/>
    <n v="125"/>
  </r>
  <r>
    <n v="1017"/>
    <s v="Rohan Gupta"/>
    <x v="0"/>
    <x v="4"/>
    <n v="20"/>
    <n v="8"/>
    <x v="16"/>
    <n v="160"/>
  </r>
  <r>
    <n v="1018"/>
    <s v="Nidhi Sharma"/>
    <x v="1"/>
    <x v="0"/>
    <n v="10"/>
    <n v="50"/>
    <x v="17"/>
    <n v="500"/>
  </r>
  <r>
    <n v="1019"/>
    <s v="Tarun Verma"/>
    <x v="2"/>
    <x v="1"/>
    <n v="15"/>
    <n v="10"/>
    <x v="18"/>
    <n v="150"/>
  </r>
  <r>
    <n v="1020"/>
    <s v="Simran Kaur"/>
    <x v="3"/>
    <x v="2"/>
    <n v="18"/>
    <n v="25"/>
    <x v="19"/>
    <n v="450"/>
  </r>
  <r>
    <n v="1021"/>
    <s v="Deepak Rao"/>
    <x v="0"/>
    <x v="0"/>
    <n v="9"/>
    <n v="50"/>
    <x v="20"/>
    <n v="450"/>
  </r>
  <r>
    <n v="1022"/>
    <s v="Payal Mehta"/>
    <x v="1"/>
    <x v="3"/>
    <n v="35"/>
    <n v="5"/>
    <x v="21"/>
    <n v="175"/>
  </r>
  <r>
    <n v="1023"/>
    <s v="Aditya Singh"/>
    <x v="2"/>
    <x v="4"/>
    <n v="30"/>
    <n v="8"/>
    <x v="22"/>
    <n v="240"/>
  </r>
  <r>
    <n v="1024"/>
    <s v="Shreya Nair"/>
    <x v="3"/>
    <x v="0"/>
    <n v="11"/>
    <n v="50"/>
    <x v="23"/>
    <n v="550"/>
  </r>
  <r>
    <n v="1025"/>
    <s v="Sanjay Kumar"/>
    <x v="0"/>
    <x v="1"/>
    <n v="14"/>
    <n v="10"/>
    <x v="24"/>
    <n v="140"/>
  </r>
  <r>
    <n v="1026"/>
    <s v="Aarti Sharma"/>
    <x v="1"/>
    <x v="2"/>
    <n v="16"/>
    <n v="25"/>
    <x v="25"/>
    <n v="400"/>
  </r>
  <r>
    <n v="1027"/>
    <s v="Rajesh Patel"/>
    <x v="2"/>
    <x v="3"/>
    <n v="22"/>
    <n v="5"/>
    <x v="26"/>
    <n v="110"/>
  </r>
  <r>
    <n v="1028"/>
    <s v="Preeti Joshi"/>
    <x v="3"/>
    <x v="4"/>
    <n v="27"/>
    <n v="8"/>
    <x v="27"/>
    <n v="216"/>
  </r>
  <r>
    <n v="1029"/>
    <s v="Anurag Mishra"/>
    <x v="0"/>
    <x v="0"/>
    <n v="13"/>
    <n v="50"/>
    <x v="28"/>
    <n v="650"/>
  </r>
  <r>
    <n v="1030"/>
    <s v="Sanya Kapoor"/>
    <x v="1"/>
    <x v="1"/>
    <n v="32"/>
    <n v="10"/>
    <x v="29"/>
    <n v="320"/>
  </r>
  <r>
    <n v="1031"/>
    <s v="Harsh Yadav"/>
    <x v="2"/>
    <x v="2"/>
    <n v="10"/>
    <n v="25"/>
    <x v="30"/>
    <n v="250"/>
  </r>
  <r>
    <n v="1032"/>
    <s v="Kajal Rani"/>
    <x v="3"/>
    <x v="3"/>
    <n v="18"/>
    <n v="5"/>
    <x v="31"/>
    <n v="90"/>
  </r>
  <r>
    <n v="1033"/>
    <s v="Varun Sharma"/>
    <x v="0"/>
    <x v="4"/>
    <n v="22"/>
    <n v="8"/>
    <x v="32"/>
    <n v="176"/>
  </r>
  <r>
    <n v="1034"/>
    <s v="Swati Arora"/>
    <x v="1"/>
    <x v="0"/>
    <n v="17"/>
    <n v="50"/>
    <x v="33"/>
    <n v="850"/>
  </r>
  <r>
    <n v="1035"/>
    <s v="Akhil Jain"/>
    <x v="2"/>
    <x v="1"/>
    <n v="19"/>
    <n v="10"/>
    <x v="34"/>
    <n v="190"/>
  </r>
  <r>
    <n v="1036"/>
    <s v="Priyanka Das"/>
    <x v="3"/>
    <x v="2"/>
    <n v="15"/>
    <n v="25"/>
    <x v="35"/>
    <n v="375"/>
  </r>
  <r>
    <n v="1037"/>
    <s v="Ravi Nair"/>
    <x v="0"/>
    <x v="3"/>
    <n v="28"/>
    <n v="5"/>
    <x v="36"/>
    <n v="140"/>
  </r>
  <r>
    <n v="1038"/>
    <s v="Komal Singh"/>
    <x v="1"/>
    <x v="4"/>
    <n v="24"/>
    <n v="8"/>
    <x v="37"/>
    <n v="192"/>
  </r>
  <r>
    <n v="1039"/>
    <s v="Ayesha Khan"/>
    <x v="2"/>
    <x v="0"/>
    <n v="16"/>
    <n v="50"/>
    <x v="38"/>
    <n v="800"/>
  </r>
  <r>
    <n v="1040"/>
    <s v="Arjun Mehta"/>
    <x v="3"/>
    <x v="1"/>
    <n v="27"/>
    <n v="10"/>
    <x v="39"/>
    <n v="270"/>
  </r>
  <r>
    <n v="1041"/>
    <s v="Sonali Gupta"/>
    <x v="0"/>
    <x v="2"/>
    <n v="21"/>
    <n v="25"/>
    <x v="40"/>
    <n v="525"/>
  </r>
  <r>
    <n v="1042"/>
    <s v="Neeraj Kapoor"/>
    <x v="1"/>
    <x v="3"/>
    <n v="30"/>
    <n v="5"/>
    <x v="41"/>
    <n v="150"/>
  </r>
  <r>
    <n v="1043"/>
    <s v="Shruti Sharma"/>
    <x v="2"/>
    <x v="4"/>
    <n v="26"/>
    <n v="8"/>
    <x v="42"/>
    <n v="208"/>
  </r>
  <r>
    <n v="1044"/>
    <s v="Yash Arora"/>
    <x v="3"/>
    <x v="0"/>
    <n v="14"/>
    <n v="50"/>
    <x v="43"/>
    <n v="700"/>
  </r>
  <r>
    <n v="1045"/>
    <s v="Manish Das"/>
    <x v="0"/>
    <x v="1"/>
    <n v="20"/>
    <n v="10"/>
    <x v="44"/>
    <n v="200"/>
  </r>
  <r>
    <n v="1046"/>
    <s v="Rupal Nair"/>
    <x v="1"/>
    <x v="2"/>
    <n v="17"/>
    <n v="25"/>
    <x v="45"/>
    <n v="425"/>
  </r>
  <r>
    <n v="1047"/>
    <s v="Sonia Verma"/>
    <x v="2"/>
    <x v="3"/>
    <n v="19"/>
    <n v="5"/>
    <x v="46"/>
    <n v="95"/>
  </r>
  <r>
    <n v="1048"/>
    <s v="Kunal Singh"/>
    <x v="3"/>
    <x v="4"/>
    <n v="32"/>
    <n v="8"/>
    <x v="47"/>
    <n v="256"/>
  </r>
  <r>
    <n v="1049"/>
    <s v="Ritika Jain"/>
    <x v="0"/>
    <x v="0"/>
    <n v="12"/>
    <n v="50"/>
    <x v="48"/>
    <n v="600"/>
  </r>
  <r>
    <n v="1050"/>
    <s v="Vivek Malhotra"/>
    <x v="1"/>
    <x v="1"/>
    <n v="25"/>
    <n v="10"/>
    <x v="49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A19F3B-94BC-429E-87D1-EF61AE2DB8A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2:C8" firstHeaderRow="1" firstDataRow="1" firstDataCol="1"/>
  <pivotFields count="10">
    <pivotField showAll="0"/>
    <pivotField showAll="0"/>
    <pivotField showAll="0"/>
    <pivotField axis="axisRow" showAll="0" sortType="ascending">
      <items count="6">
        <item x="4"/>
        <item x="2"/>
        <item x="0"/>
        <item x="1"/>
        <item x="3"/>
        <item t="default"/>
      </items>
    </pivotField>
    <pivotField showAll="0"/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ivotTable" Target="../pivotTables/pivotTable1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69DD-3EEB-411B-A631-1A933D04CA95}">
  <dimension ref="E1:T23"/>
  <sheetViews>
    <sheetView topLeftCell="F1" workbookViewId="0">
      <selection activeCell="W13" sqref="W13"/>
    </sheetView>
  </sheetViews>
  <sheetFormatPr defaultRowHeight="15" x14ac:dyDescent="0.2"/>
  <sheetData>
    <row r="1" spans="5:20" ht="14.45" customHeight="1" x14ac:dyDescent="0.25">
      <c r="J1" s="1"/>
      <c r="K1" s="1"/>
      <c r="L1" s="1"/>
      <c r="M1" s="1"/>
      <c r="N1" s="1"/>
      <c r="O1" s="1"/>
      <c r="P1" s="1"/>
    </row>
    <row r="2" spans="5:20" ht="14.45" customHeight="1" x14ac:dyDescent="0.25">
      <c r="K2" s="1"/>
      <c r="L2" s="1"/>
      <c r="M2" s="1"/>
      <c r="N2" s="1"/>
      <c r="O2" s="1"/>
      <c r="P2" s="1"/>
    </row>
    <row r="3" spans="5:20" ht="14.45" customHeight="1" x14ac:dyDescent="0.2">
      <c r="E3" s="26" t="s">
        <v>127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</row>
    <row r="4" spans="5:20" ht="14.45" customHeight="1" x14ac:dyDescent="0.2"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spans="5:20" x14ac:dyDescent="0.2"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5:20" ht="14.45" customHeight="1" x14ac:dyDescent="0.2"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5:20" ht="14.45" customHeight="1" x14ac:dyDescent="0.2"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</row>
    <row r="8" spans="5:20" x14ac:dyDescent="0.2"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</row>
    <row r="9" spans="5:20" ht="14.45" customHeight="1" x14ac:dyDescent="0.2"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</row>
    <row r="10" spans="5:20" ht="14.45" customHeight="1" x14ac:dyDescent="0.2"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</row>
    <row r="11" spans="5:20" ht="14.45" customHeight="1" x14ac:dyDescent="0.2"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</row>
    <row r="12" spans="5:20" ht="14.45" customHeight="1" x14ac:dyDescent="0.2"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</row>
    <row r="13" spans="5:20" ht="14.45" customHeight="1" x14ac:dyDescent="0.2"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</row>
    <row r="14" spans="5:20" x14ac:dyDescent="0.2"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</row>
    <row r="15" spans="5:20" x14ac:dyDescent="0.2"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</row>
    <row r="16" spans="5:20" x14ac:dyDescent="0.2"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</row>
    <row r="17" spans="5:20" x14ac:dyDescent="0.2"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</row>
    <row r="18" spans="5:20" x14ac:dyDescent="0.2"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</row>
    <row r="19" spans="5:20" x14ac:dyDescent="0.2"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</row>
    <row r="20" spans="5:20" x14ac:dyDescent="0.2"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</row>
    <row r="21" spans="5:20" x14ac:dyDescent="0.2"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</row>
    <row r="22" spans="5:20" x14ac:dyDescent="0.2"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</row>
    <row r="23" spans="5:20" x14ac:dyDescent="0.2"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</row>
  </sheetData>
  <mergeCells count="1">
    <mergeCell ref="E3:T23"/>
  </mergeCells>
  <pageMargins left="0.7" right="0.7" top="0.75" bottom="0.75" header="0.3" footer="0.3"/>
  <pageSetup scale="0" firstPageNumber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D77D0-5202-472F-9F4A-87784CD91A9D}">
  <dimension ref="A2:D28"/>
  <sheetViews>
    <sheetView topLeftCell="A12" workbookViewId="0">
      <selection activeCell="A26" sqref="A26"/>
    </sheetView>
  </sheetViews>
  <sheetFormatPr defaultRowHeight="15" x14ac:dyDescent="0.2"/>
  <cols>
    <col min="4" max="4" width="10.22265625" customWidth="1"/>
  </cols>
  <sheetData>
    <row r="2" spans="1:2" ht="21" x14ac:dyDescent="0.3">
      <c r="A2" s="5" t="s">
        <v>0</v>
      </c>
      <c r="B2" s="7" t="s">
        <v>1</v>
      </c>
    </row>
    <row r="4" spans="1:2" ht="18.75" x14ac:dyDescent="0.25">
      <c r="A4" s="5" t="s">
        <v>2</v>
      </c>
      <c r="B4" s="6" t="s">
        <v>12</v>
      </c>
    </row>
    <row r="5" spans="1:2" x14ac:dyDescent="0.2">
      <c r="B5" s="2" t="s">
        <v>3</v>
      </c>
    </row>
    <row r="6" spans="1:2" x14ac:dyDescent="0.2">
      <c r="B6" t="s">
        <v>4</v>
      </c>
    </row>
    <row r="7" spans="1:2" x14ac:dyDescent="0.2">
      <c r="B7" t="s">
        <v>5</v>
      </c>
    </row>
    <row r="8" spans="1:2" x14ac:dyDescent="0.2">
      <c r="B8" t="s">
        <v>6</v>
      </c>
    </row>
    <row r="10" spans="1:2" ht="18.75" x14ac:dyDescent="0.25">
      <c r="B10" s="6" t="s">
        <v>7</v>
      </c>
    </row>
    <row r="11" spans="1:2" x14ac:dyDescent="0.2">
      <c r="B11" t="s">
        <v>8</v>
      </c>
    </row>
    <row r="12" spans="1:2" x14ac:dyDescent="0.2">
      <c r="B12" t="s">
        <v>4</v>
      </c>
    </row>
    <row r="13" spans="1:2" x14ac:dyDescent="0.2">
      <c r="B13" t="s">
        <v>9</v>
      </c>
    </row>
    <row r="14" spans="1:2" x14ac:dyDescent="0.2">
      <c r="B14" t="s">
        <v>10</v>
      </c>
    </row>
    <row r="16" spans="1:2" ht="18.75" x14ac:dyDescent="0.25">
      <c r="B16" s="6" t="s">
        <v>11</v>
      </c>
    </row>
    <row r="17" spans="2:4" x14ac:dyDescent="0.2">
      <c r="B17" t="s">
        <v>13</v>
      </c>
    </row>
    <row r="18" spans="2:4" x14ac:dyDescent="0.2">
      <c r="B18" t="s">
        <v>4</v>
      </c>
    </row>
    <row r="19" spans="2:4" x14ac:dyDescent="0.2">
      <c r="B19" t="s">
        <v>14</v>
      </c>
    </row>
    <row r="20" spans="2:4" x14ac:dyDescent="0.2">
      <c r="B20" t="s">
        <v>15</v>
      </c>
    </row>
    <row r="21" spans="2:4" x14ac:dyDescent="0.2">
      <c r="B21" t="s">
        <v>16</v>
      </c>
    </row>
    <row r="23" spans="2:4" ht="18.75" x14ac:dyDescent="0.25">
      <c r="B23" s="6" t="s">
        <v>17</v>
      </c>
    </row>
    <row r="25" spans="2:4" x14ac:dyDescent="0.2">
      <c r="B25" s="2" t="s">
        <v>18</v>
      </c>
    </row>
    <row r="26" spans="2:4" x14ac:dyDescent="0.2">
      <c r="B26" t="s">
        <v>19</v>
      </c>
      <c r="D26" t="s">
        <v>22</v>
      </c>
    </row>
    <row r="27" spans="2:4" x14ac:dyDescent="0.2">
      <c r="B27" t="s">
        <v>19</v>
      </c>
      <c r="D27" t="s">
        <v>20</v>
      </c>
    </row>
    <row r="28" spans="2:4" x14ac:dyDescent="0.2">
      <c r="B28" t="s">
        <v>19</v>
      </c>
      <c r="D28" t="s">
        <v>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A741-5158-4EE1-9987-C4FBCC225594}">
  <dimension ref="A2:C14"/>
  <sheetViews>
    <sheetView workbookViewId="0">
      <selection activeCell="C13" sqref="C13"/>
    </sheetView>
  </sheetViews>
  <sheetFormatPr defaultRowHeight="15" x14ac:dyDescent="0.2"/>
  <cols>
    <col min="2" max="2" width="29.99609375" customWidth="1"/>
  </cols>
  <sheetData>
    <row r="2" spans="1:3" ht="18.75" x14ac:dyDescent="0.25">
      <c r="A2" s="4" t="s">
        <v>24</v>
      </c>
      <c r="B2" s="3" t="s">
        <v>23</v>
      </c>
    </row>
    <row r="4" spans="1:3" x14ac:dyDescent="0.2">
      <c r="B4" s="2" t="s">
        <v>25</v>
      </c>
    </row>
    <row r="6" spans="1:3" ht="18.75" x14ac:dyDescent="0.2">
      <c r="B6" s="8" t="s">
        <v>26</v>
      </c>
      <c r="C6" s="8" t="s">
        <v>28</v>
      </c>
    </row>
    <row r="7" spans="1:3" x14ac:dyDescent="0.2">
      <c r="B7" s="9" t="s">
        <v>31</v>
      </c>
      <c r="C7" s="9">
        <v>500000</v>
      </c>
    </row>
    <row r="8" spans="1:3" x14ac:dyDescent="0.2">
      <c r="B8" s="9" t="s">
        <v>32</v>
      </c>
      <c r="C8" s="9">
        <v>10500</v>
      </c>
    </row>
    <row r="9" spans="1:3" x14ac:dyDescent="0.2">
      <c r="B9" s="9" t="s">
        <v>27</v>
      </c>
      <c r="C9" s="9">
        <v>25000</v>
      </c>
    </row>
    <row r="11" spans="1:3" x14ac:dyDescent="0.2">
      <c r="A11" s="4" t="s">
        <v>30</v>
      </c>
    </row>
    <row r="12" spans="1:3" x14ac:dyDescent="0.2">
      <c r="B12" s="11" t="s">
        <v>29</v>
      </c>
      <c r="C12">
        <f>SUMIF(B7:B9,"Car",C7:C9)</f>
        <v>500000</v>
      </c>
    </row>
    <row r="13" spans="1:3" x14ac:dyDescent="0.2">
      <c r="B13" s="11" t="s">
        <v>33</v>
      </c>
      <c r="C13">
        <f>SUMIF(B7:B10,"Bicycle",C7:C10)</f>
        <v>10500</v>
      </c>
    </row>
    <row r="14" spans="1:3" x14ac:dyDescent="0.2">
      <c r="B14" s="11" t="s">
        <v>34</v>
      </c>
      <c r="C14">
        <f>SUM(C12:C13)</f>
        <v>510500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718D-CFDA-4773-9F99-8E75F7D7809C}">
  <dimension ref="A2:D11"/>
  <sheetViews>
    <sheetView tabSelected="1" workbookViewId="0">
      <selection activeCell="D7" sqref="D7"/>
    </sheetView>
  </sheetViews>
  <sheetFormatPr defaultRowHeight="15" x14ac:dyDescent="0.2"/>
  <cols>
    <col min="1" max="1" width="9.953125" customWidth="1"/>
  </cols>
  <sheetData>
    <row r="2" spans="1:4" ht="18.75" x14ac:dyDescent="0.25">
      <c r="A2" s="5" t="s">
        <v>35</v>
      </c>
      <c r="B2" s="3" t="s">
        <v>41</v>
      </c>
    </row>
    <row r="4" spans="1:4" ht="18.75" x14ac:dyDescent="0.2">
      <c r="B4" s="8" t="s">
        <v>36</v>
      </c>
      <c r="C4" s="8" t="s">
        <v>28</v>
      </c>
      <c r="D4" s="8" t="s">
        <v>40</v>
      </c>
    </row>
    <row r="5" spans="1:4" x14ac:dyDescent="0.2">
      <c r="B5" s="9" t="s">
        <v>37</v>
      </c>
      <c r="C5" s="9">
        <v>90</v>
      </c>
      <c r="D5" s="9">
        <v>1000</v>
      </c>
    </row>
    <row r="6" spans="1:4" x14ac:dyDescent="0.2">
      <c r="B6" s="9" t="s">
        <v>38</v>
      </c>
      <c r="C6" s="9">
        <v>150</v>
      </c>
      <c r="D6" s="9">
        <v>1200</v>
      </c>
    </row>
    <row r="7" spans="1:4" x14ac:dyDescent="0.2">
      <c r="B7" s="9" t="s">
        <v>39</v>
      </c>
      <c r="C7" s="9">
        <v>250</v>
      </c>
      <c r="D7" s="9">
        <v>1500</v>
      </c>
    </row>
    <row r="9" spans="1:4" ht="18.75" x14ac:dyDescent="0.25">
      <c r="A9" s="3" t="s">
        <v>42</v>
      </c>
    </row>
    <row r="10" spans="1:4" x14ac:dyDescent="0.2">
      <c r="B10" s="25" t="s">
        <v>128</v>
      </c>
      <c r="C10" s="10" t="s">
        <v>43</v>
      </c>
    </row>
    <row r="11" spans="1:4" x14ac:dyDescent="0.2">
      <c r="C11">
        <f>AVERAGEIFS(D5:D7,C5:C7,"&gt;100",C5:C7,"&lt;300")</f>
        <v>1350</v>
      </c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FBFC-025A-447F-B121-0DB0D53222EB}">
  <dimension ref="B1:K52"/>
  <sheetViews>
    <sheetView topLeftCell="E1" workbookViewId="0">
      <selection activeCell="K5" sqref="K5"/>
    </sheetView>
  </sheetViews>
  <sheetFormatPr defaultRowHeight="15" x14ac:dyDescent="0.2"/>
  <cols>
    <col min="5" max="5" width="10.625" customWidth="1"/>
    <col min="7" max="7" width="10.22265625" customWidth="1"/>
    <col min="8" max="8" width="13.046875" customWidth="1"/>
  </cols>
  <sheetData>
    <row r="1" spans="2:11" ht="15.75" thickBot="1" x14ac:dyDescent="0.25"/>
    <row r="2" spans="2:11" ht="29.25" thickBot="1" x14ac:dyDescent="0.3">
      <c r="B2" s="12" t="s">
        <v>44</v>
      </c>
      <c r="C2" s="12" t="s">
        <v>45</v>
      </c>
      <c r="D2" s="12" t="s">
        <v>46</v>
      </c>
      <c r="E2" s="12" t="s">
        <v>47</v>
      </c>
      <c r="F2" s="12" t="s">
        <v>48</v>
      </c>
      <c r="G2" s="12" t="s">
        <v>49</v>
      </c>
      <c r="H2" s="12" t="s">
        <v>50</v>
      </c>
      <c r="J2" s="16" t="s">
        <v>110</v>
      </c>
      <c r="K2" s="3" t="s">
        <v>111</v>
      </c>
    </row>
    <row r="3" spans="2:11" ht="29.25" thickBot="1" x14ac:dyDescent="0.3">
      <c r="B3" s="13">
        <v>1001</v>
      </c>
      <c r="C3" s="14" t="s">
        <v>51</v>
      </c>
      <c r="D3" s="14" t="s">
        <v>52</v>
      </c>
      <c r="E3" s="14" t="s">
        <v>53</v>
      </c>
      <c r="F3" s="13">
        <v>10</v>
      </c>
      <c r="G3" s="13">
        <v>50</v>
      </c>
      <c r="H3" s="15">
        <v>45296</v>
      </c>
      <c r="J3" s="5" t="s">
        <v>2</v>
      </c>
      <c r="K3" s="3">
        <f>COUNTA(C3:C52)</f>
        <v>50</v>
      </c>
    </row>
    <row r="4" spans="2:11" ht="28.5" thickBot="1" x14ac:dyDescent="0.25">
      <c r="B4" s="13">
        <v>1002</v>
      </c>
      <c r="C4" s="14" t="s">
        <v>54</v>
      </c>
      <c r="D4" s="14" t="s">
        <v>55</v>
      </c>
      <c r="E4" s="14" t="s">
        <v>56</v>
      </c>
      <c r="F4" s="13">
        <v>20</v>
      </c>
      <c r="G4" s="13">
        <v>10</v>
      </c>
      <c r="H4" s="15">
        <v>45297</v>
      </c>
    </row>
    <row r="5" spans="2:11" ht="28.5" thickBot="1" x14ac:dyDescent="0.25">
      <c r="B5" s="13">
        <v>1003</v>
      </c>
      <c r="C5" s="14" t="s">
        <v>57</v>
      </c>
      <c r="D5" s="14" t="s">
        <v>58</v>
      </c>
      <c r="E5" s="14" t="s">
        <v>59</v>
      </c>
      <c r="F5" s="13">
        <v>15</v>
      </c>
      <c r="G5" s="13">
        <v>25</v>
      </c>
      <c r="H5" s="15">
        <v>45298</v>
      </c>
    </row>
    <row r="6" spans="2:11" ht="28.5" thickBot="1" x14ac:dyDescent="0.25">
      <c r="B6" s="13">
        <v>1004</v>
      </c>
      <c r="C6" s="14" t="s">
        <v>60</v>
      </c>
      <c r="D6" s="14" t="s">
        <v>61</v>
      </c>
      <c r="E6" s="14" t="s">
        <v>53</v>
      </c>
      <c r="F6" s="13">
        <v>5</v>
      </c>
      <c r="G6" s="13">
        <v>50</v>
      </c>
      <c r="H6" s="15">
        <v>45299</v>
      </c>
    </row>
    <row r="7" spans="2:11" ht="15.75" thickBot="1" x14ac:dyDescent="0.25">
      <c r="B7" s="13">
        <v>1005</v>
      </c>
      <c r="C7" s="14" t="s">
        <v>62</v>
      </c>
      <c r="D7" s="14" t="s">
        <v>52</v>
      </c>
      <c r="E7" s="14" t="s">
        <v>63</v>
      </c>
      <c r="F7" s="13">
        <v>30</v>
      </c>
      <c r="G7" s="13">
        <v>5</v>
      </c>
      <c r="H7" s="15">
        <v>45301</v>
      </c>
    </row>
    <row r="8" spans="2:11" ht="28.5" thickBot="1" x14ac:dyDescent="0.25">
      <c r="B8" s="13">
        <v>1006</v>
      </c>
      <c r="C8" s="14" t="s">
        <v>64</v>
      </c>
      <c r="D8" s="14" t="s">
        <v>55</v>
      </c>
      <c r="E8" s="14" t="s">
        <v>53</v>
      </c>
      <c r="F8" s="13">
        <v>12</v>
      </c>
      <c r="G8" s="13">
        <v>50</v>
      </c>
      <c r="H8" s="15">
        <v>45302</v>
      </c>
    </row>
    <row r="9" spans="2:11" ht="28.5" thickBot="1" x14ac:dyDescent="0.25">
      <c r="B9" s="13">
        <v>1007</v>
      </c>
      <c r="C9" s="14" t="s">
        <v>65</v>
      </c>
      <c r="D9" s="14" t="s">
        <v>58</v>
      </c>
      <c r="E9" s="14" t="s">
        <v>66</v>
      </c>
      <c r="F9" s="13">
        <v>25</v>
      </c>
      <c r="G9" s="13">
        <v>8</v>
      </c>
      <c r="H9" s="15">
        <v>45304</v>
      </c>
    </row>
    <row r="10" spans="2:11" ht="28.5" thickBot="1" x14ac:dyDescent="0.25">
      <c r="B10" s="13">
        <v>1008</v>
      </c>
      <c r="C10" s="14" t="s">
        <v>67</v>
      </c>
      <c r="D10" s="14" t="s">
        <v>61</v>
      </c>
      <c r="E10" s="14" t="s">
        <v>56</v>
      </c>
      <c r="F10" s="13">
        <v>18</v>
      </c>
      <c r="G10" s="13">
        <v>10</v>
      </c>
      <c r="H10" s="15">
        <v>45306</v>
      </c>
    </row>
    <row r="11" spans="2:11" ht="15.75" thickBot="1" x14ac:dyDescent="0.25">
      <c r="B11" s="13">
        <v>1009</v>
      </c>
      <c r="C11" s="14" t="s">
        <v>68</v>
      </c>
      <c r="D11" s="14" t="s">
        <v>52</v>
      </c>
      <c r="E11" s="14" t="s">
        <v>59</v>
      </c>
      <c r="F11" s="13">
        <v>22</v>
      </c>
      <c r="G11" s="13">
        <v>25</v>
      </c>
      <c r="H11" s="15">
        <v>45308</v>
      </c>
    </row>
    <row r="12" spans="2:11" ht="28.5" thickBot="1" x14ac:dyDescent="0.25">
      <c r="B12" s="13">
        <v>1010</v>
      </c>
      <c r="C12" s="14" t="s">
        <v>69</v>
      </c>
      <c r="D12" s="14" t="s">
        <v>55</v>
      </c>
      <c r="E12" s="14" t="s">
        <v>53</v>
      </c>
      <c r="F12" s="13">
        <v>8</v>
      </c>
      <c r="G12" s="13">
        <v>50</v>
      </c>
      <c r="H12" s="15">
        <v>45309</v>
      </c>
    </row>
    <row r="13" spans="2:11" ht="15.75" thickBot="1" x14ac:dyDescent="0.25">
      <c r="B13" s="13">
        <v>1011</v>
      </c>
      <c r="C13" s="14" t="s">
        <v>70</v>
      </c>
      <c r="D13" s="14" t="s">
        <v>58</v>
      </c>
      <c r="E13" s="14" t="s">
        <v>63</v>
      </c>
      <c r="F13" s="13">
        <v>40</v>
      </c>
      <c r="G13" s="13">
        <v>5</v>
      </c>
      <c r="H13" s="15">
        <v>45310</v>
      </c>
    </row>
    <row r="14" spans="2:11" ht="28.5" thickBot="1" x14ac:dyDescent="0.25">
      <c r="B14" s="13">
        <v>1012</v>
      </c>
      <c r="C14" s="14" t="s">
        <v>71</v>
      </c>
      <c r="D14" s="14" t="s">
        <v>61</v>
      </c>
      <c r="E14" s="14" t="s">
        <v>66</v>
      </c>
      <c r="F14" s="13">
        <v>35</v>
      </c>
      <c r="G14" s="13">
        <v>8</v>
      </c>
      <c r="H14" s="15">
        <v>45311</v>
      </c>
    </row>
    <row r="15" spans="2:11" ht="28.5" thickBot="1" x14ac:dyDescent="0.25">
      <c r="B15" s="13">
        <v>1013</v>
      </c>
      <c r="C15" s="14" t="s">
        <v>72</v>
      </c>
      <c r="D15" s="14" t="s">
        <v>52</v>
      </c>
      <c r="E15" s="14" t="s">
        <v>53</v>
      </c>
      <c r="F15" s="13">
        <v>14</v>
      </c>
      <c r="G15" s="13">
        <v>50</v>
      </c>
      <c r="H15" s="15">
        <v>45313</v>
      </c>
    </row>
    <row r="16" spans="2:11" ht="28.5" thickBot="1" x14ac:dyDescent="0.25">
      <c r="B16" s="13">
        <v>1014</v>
      </c>
      <c r="C16" s="14" t="s">
        <v>73</v>
      </c>
      <c r="D16" s="14" t="s">
        <v>55</v>
      </c>
      <c r="E16" s="14" t="s">
        <v>56</v>
      </c>
      <c r="F16" s="13">
        <v>28</v>
      </c>
      <c r="G16" s="13">
        <v>10</v>
      </c>
      <c r="H16" s="15">
        <v>45314</v>
      </c>
    </row>
    <row r="17" spans="2:8" ht="28.5" thickBot="1" x14ac:dyDescent="0.25">
      <c r="B17" s="13">
        <v>1015</v>
      </c>
      <c r="C17" s="14" t="s">
        <v>74</v>
      </c>
      <c r="D17" s="14" t="s">
        <v>58</v>
      </c>
      <c r="E17" s="14" t="s">
        <v>59</v>
      </c>
      <c r="F17" s="13">
        <v>12</v>
      </c>
      <c r="G17" s="13">
        <v>25</v>
      </c>
      <c r="H17" s="15">
        <v>45315</v>
      </c>
    </row>
    <row r="18" spans="2:8" ht="28.5" thickBot="1" x14ac:dyDescent="0.25">
      <c r="B18" s="13">
        <v>1016</v>
      </c>
      <c r="C18" s="14" t="s">
        <v>75</v>
      </c>
      <c r="D18" s="14" t="s">
        <v>61</v>
      </c>
      <c r="E18" s="14" t="s">
        <v>63</v>
      </c>
      <c r="F18" s="13">
        <v>25</v>
      </c>
      <c r="G18" s="13">
        <v>5</v>
      </c>
      <c r="H18" s="15">
        <v>45317</v>
      </c>
    </row>
    <row r="19" spans="2:8" ht="28.5" thickBot="1" x14ac:dyDescent="0.25">
      <c r="B19" s="13">
        <v>1017</v>
      </c>
      <c r="C19" s="14" t="s">
        <v>76</v>
      </c>
      <c r="D19" s="14" t="s">
        <v>52</v>
      </c>
      <c r="E19" s="14" t="s">
        <v>66</v>
      </c>
      <c r="F19" s="13">
        <v>20</v>
      </c>
      <c r="G19" s="13">
        <v>8</v>
      </c>
      <c r="H19" s="15">
        <v>45319</v>
      </c>
    </row>
    <row r="20" spans="2:8" ht="28.5" thickBot="1" x14ac:dyDescent="0.25">
      <c r="B20" s="13">
        <v>1018</v>
      </c>
      <c r="C20" s="14" t="s">
        <v>77</v>
      </c>
      <c r="D20" s="14" t="s">
        <v>55</v>
      </c>
      <c r="E20" s="14" t="s">
        <v>53</v>
      </c>
      <c r="F20" s="13">
        <v>10</v>
      </c>
      <c r="G20" s="13">
        <v>50</v>
      </c>
      <c r="H20" s="15">
        <v>45320</v>
      </c>
    </row>
    <row r="21" spans="2:8" ht="28.5" thickBot="1" x14ac:dyDescent="0.25">
      <c r="B21" s="13">
        <v>1019</v>
      </c>
      <c r="C21" s="14" t="s">
        <v>78</v>
      </c>
      <c r="D21" s="14" t="s">
        <v>58</v>
      </c>
      <c r="E21" s="14" t="s">
        <v>56</v>
      </c>
      <c r="F21" s="13">
        <v>15</v>
      </c>
      <c r="G21" s="13">
        <v>10</v>
      </c>
      <c r="H21" s="15">
        <v>45321</v>
      </c>
    </row>
    <row r="22" spans="2:8" ht="28.5" thickBot="1" x14ac:dyDescent="0.25">
      <c r="B22" s="13">
        <v>1020</v>
      </c>
      <c r="C22" s="14" t="s">
        <v>79</v>
      </c>
      <c r="D22" s="14" t="s">
        <v>61</v>
      </c>
      <c r="E22" s="14" t="s">
        <v>59</v>
      </c>
      <c r="F22" s="13">
        <v>18</v>
      </c>
      <c r="G22" s="13">
        <v>25</v>
      </c>
      <c r="H22" s="15">
        <v>45323</v>
      </c>
    </row>
    <row r="23" spans="2:8" ht="28.5" thickBot="1" x14ac:dyDescent="0.25">
      <c r="B23" s="13">
        <v>1021</v>
      </c>
      <c r="C23" s="14" t="s">
        <v>80</v>
      </c>
      <c r="D23" s="14" t="s">
        <v>52</v>
      </c>
      <c r="E23" s="14" t="s">
        <v>53</v>
      </c>
      <c r="F23" s="13">
        <v>9</v>
      </c>
      <c r="G23" s="13">
        <v>50</v>
      </c>
      <c r="H23" s="15">
        <v>45324</v>
      </c>
    </row>
    <row r="24" spans="2:8" ht="28.5" thickBot="1" x14ac:dyDescent="0.25">
      <c r="B24" s="13">
        <v>1022</v>
      </c>
      <c r="C24" s="14" t="s">
        <v>81</v>
      </c>
      <c r="D24" s="14" t="s">
        <v>55</v>
      </c>
      <c r="E24" s="14" t="s">
        <v>63</v>
      </c>
      <c r="F24" s="13">
        <v>35</v>
      </c>
      <c r="G24" s="13">
        <v>5</v>
      </c>
      <c r="H24" s="15">
        <v>45325</v>
      </c>
    </row>
    <row r="25" spans="2:8" ht="28.5" thickBot="1" x14ac:dyDescent="0.25">
      <c r="B25" s="13">
        <v>1023</v>
      </c>
      <c r="C25" s="14" t="s">
        <v>82</v>
      </c>
      <c r="D25" s="14" t="s">
        <v>58</v>
      </c>
      <c r="E25" s="14" t="s">
        <v>66</v>
      </c>
      <c r="F25" s="13">
        <v>30</v>
      </c>
      <c r="G25" s="13">
        <v>8</v>
      </c>
      <c r="H25" s="15">
        <v>45326</v>
      </c>
    </row>
    <row r="26" spans="2:8" ht="28.5" thickBot="1" x14ac:dyDescent="0.25">
      <c r="B26" s="13">
        <v>1024</v>
      </c>
      <c r="C26" s="14" t="s">
        <v>83</v>
      </c>
      <c r="D26" s="14" t="s">
        <v>61</v>
      </c>
      <c r="E26" s="14" t="s">
        <v>53</v>
      </c>
      <c r="F26" s="13">
        <v>11</v>
      </c>
      <c r="G26" s="13">
        <v>50</v>
      </c>
      <c r="H26" s="15">
        <v>45328</v>
      </c>
    </row>
    <row r="27" spans="2:8" ht="28.5" thickBot="1" x14ac:dyDescent="0.25">
      <c r="B27" s="13">
        <v>1025</v>
      </c>
      <c r="C27" s="14" t="s">
        <v>84</v>
      </c>
      <c r="D27" s="14" t="s">
        <v>52</v>
      </c>
      <c r="E27" s="14" t="s">
        <v>56</v>
      </c>
      <c r="F27" s="13">
        <v>14</v>
      </c>
      <c r="G27" s="13">
        <v>10</v>
      </c>
      <c r="H27" s="15">
        <v>45329</v>
      </c>
    </row>
    <row r="28" spans="2:8" ht="28.5" thickBot="1" x14ac:dyDescent="0.25">
      <c r="B28" s="13">
        <v>1026</v>
      </c>
      <c r="C28" s="14" t="s">
        <v>85</v>
      </c>
      <c r="D28" s="14" t="s">
        <v>55</v>
      </c>
      <c r="E28" s="14" t="s">
        <v>59</v>
      </c>
      <c r="F28" s="13">
        <v>16</v>
      </c>
      <c r="G28" s="13">
        <v>25</v>
      </c>
      <c r="H28" s="15">
        <v>45330</v>
      </c>
    </row>
    <row r="29" spans="2:8" ht="28.5" thickBot="1" x14ac:dyDescent="0.25">
      <c r="B29" s="13">
        <v>1027</v>
      </c>
      <c r="C29" s="14" t="s">
        <v>86</v>
      </c>
      <c r="D29" s="14" t="s">
        <v>58</v>
      </c>
      <c r="E29" s="14" t="s">
        <v>63</v>
      </c>
      <c r="F29" s="13">
        <v>22</v>
      </c>
      <c r="G29" s="13">
        <v>5</v>
      </c>
      <c r="H29" s="15">
        <v>45331</v>
      </c>
    </row>
    <row r="30" spans="2:8" ht="28.5" thickBot="1" x14ac:dyDescent="0.25">
      <c r="B30" s="13">
        <v>1028</v>
      </c>
      <c r="C30" s="14" t="s">
        <v>87</v>
      </c>
      <c r="D30" s="14" t="s">
        <v>61</v>
      </c>
      <c r="E30" s="14" t="s">
        <v>66</v>
      </c>
      <c r="F30" s="13">
        <v>27</v>
      </c>
      <c r="G30" s="13">
        <v>8</v>
      </c>
      <c r="H30" s="15">
        <v>45332</v>
      </c>
    </row>
    <row r="31" spans="2:8" ht="28.5" thickBot="1" x14ac:dyDescent="0.25">
      <c r="B31" s="13">
        <v>1029</v>
      </c>
      <c r="C31" s="14" t="s">
        <v>88</v>
      </c>
      <c r="D31" s="14" t="s">
        <v>52</v>
      </c>
      <c r="E31" s="14" t="s">
        <v>53</v>
      </c>
      <c r="F31" s="13">
        <v>13</v>
      </c>
      <c r="G31" s="13">
        <v>50</v>
      </c>
      <c r="H31" s="15">
        <v>45334</v>
      </c>
    </row>
    <row r="32" spans="2:8" ht="28.5" thickBot="1" x14ac:dyDescent="0.25">
      <c r="B32" s="13">
        <v>1030</v>
      </c>
      <c r="C32" s="14" t="s">
        <v>89</v>
      </c>
      <c r="D32" s="14" t="s">
        <v>55</v>
      </c>
      <c r="E32" s="14" t="s">
        <v>56</v>
      </c>
      <c r="F32" s="13">
        <v>32</v>
      </c>
      <c r="G32" s="13">
        <v>10</v>
      </c>
      <c r="H32" s="15">
        <v>45335</v>
      </c>
    </row>
    <row r="33" spans="2:8" ht="28.5" thickBot="1" x14ac:dyDescent="0.25">
      <c r="B33" s="13">
        <v>1031</v>
      </c>
      <c r="C33" s="14" t="s">
        <v>90</v>
      </c>
      <c r="D33" s="14" t="s">
        <v>58</v>
      </c>
      <c r="E33" s="14" t="s">
        <v>59</v>
      </c>
      <c r="F33" s="13">
        <v>10</v>
      </c>
      <c r="G33" s="13">
        <v>25</v>
      </c>
      <c r="H33" s="15">
        <v>45336</v>
      </c>
    </row>
    <row r="34" spans="2:8" ht="15.75" thickBot="1" x14ac:dyDescent="0.25">
      <c r="B34" s="13">
        <v>1032</v>
      </c>
      <c r="C34" s="14" t="s">
        <v>91</v>
      </c>
      <c r="D34" s="14" t="s">
        <v>61</v>
      </c>
      <c r="E34" s="14" t="s">
        <v>63</v>
      </c>
      <c r="F34" s="13">
        <v>18</v>
      </c>
      <c r="G34" s="13">
        <v>5</v>
      </c>
      <c r="H34" s="15">
        <v>45338</v>
      </c>
    </row>
    <row r="35" spans="2:8" ht="28.5" thickBot="1" x14ac:dyDescent="0.25">
      <c r="B35" s="13">
        <v>1033</v>
      </c>
      <c r="C35" s="14" t="s">
        <v>92</v>
      </c>
      <c r="D35" s="14" t="s">
        <v>52</v>
      </c>
      <c r="E35" s="14" t="s">
        <v>66</v>
      </c>
      <c r="F35" s="13">
        <v>22</v>
      </c>
      <c r="G35" s="13">
        <v>8</v>
      </c>
      <c r="H35" s="15">
        <v>45339</v>
      </c>
    </row>
    <row r="36" spans="2:8" ht="28.5" thickBot="1" x14ac:dyDescent="0.25">
      <c r="B36" s="13">
        <v>1034</v>
      </c>
      <c r="C36" s="14" t="s">
        <v>93</v>
      </c>
      <c r="D36" s="14" t="s">
        <v>55</v>
      </c>
      <c r="E36" s="14" t="s">
        <v>53</v>
      </c>
      <c r="F36" s="13">
        <v>17</v>
      </c>
      <c r="G36" s="13">
        <v>50</v>
      </c>
      <c r="H36" s="15">
        <v>45340</v>
      </c>
    </row>
    <row r="37" spans="2:8" ht="15.75" thickBot="1" x14ac:dyDescent="0.25">
      <c r="B37" s="13">
        <v>1035</v>
      </c>
      <c r="C37" s="14" t="s">
        <v>94</v>
      </c>
      <c r="D37" s="14" t="s">
        <v>58</v>
      </c>
      <c r="E37" s="14" t="s">
        <v>56</v>
      </c>
      <c r="F37" s="13">
        <v>19</v>
      </c>
      <c r="G37" s="13">
        <v>10</v>
      </c>
      <c r="H37" s="15">
        <v>45341</v>
      </c>
    </row>
    <row r="38" spans="2:8" ht="28.5" thickBot="1" x14ac:dyDescent="0.25">
      <c r="B38" s="13">
        <v>1036</v>
      </c>
      <c r="C38" s="14" t="s">
        <v>95</v>
      </c>
      <c r="D38" s="14" t="s">
        <v>61</v>
      </c>
      <c r="E38" s="14" t="s">
        <v>59</v>
      </c>
      <c r="F38" s="13">
        <v>15</v>
      </c>
      <c r="G38" s="13">
        <v>25</v>
      </c>
      <c r="H38" s="15">
        <v>45343</v>
      </c>
    </row>
    <row r="39" spans="2:8" ht="15.75" thickBot="1" x14ac:dyDescent="0.25">
      <c r="B39" s="13">
        <v>1037</v>
      </c>
      <c r="C39" s="14" t="s">
        <v>96</v>
      </c>
      <c r="D39" s="14" t="s">
        <v>52</v>
      </c>
      <c r="E39" s="14" t="s">
        <v>63</v>
      </c>
      <c r="F39" s="13">
        <v>28</v>
      </c>
      <c r="G39" s="13">
        <v>5</v>
      </c>
      <c r="H39" s="15">
        <v>45344</v>
      </c>
    </row>
    <row r="40" spans="2:8" ht="28.5" thickBot="1" x14ac:dyDescent="0.25">
      <c r="B40" s="13">
        <v>1038</v>
      </c>
      <c r="C40" s="14" t="s">
        <v>97</v>
      </c>
      <c r="D40" s="14" t="s">
        <v>55</v>
      </c>
      <c r="E40" s="14" t="s">
        <v>66</v>
      </c>
      <c r="F40" s="13">
        <v>24</v>
      </c>
      <c r="G40" s="13">
        <v>8</v>
      </c>
      <c r="H40" s="15">
        <v>45345</v>
      </c>
    </row>
    <row r="41" spans="2:8" ht="28.5" thickBot="1" x14ac:dyDescent="0.25">
      <c r="B41" s="13">
        <v>1039</v>
      </c>
      <c r="C41" s="14" t="s">
        <v>98</v>
      </c>
      <c r="D41" s="14" t="s">
        <v>58</v>
      </c>
      <c r="E41" s="14" t="s">
        <v>53</v>
      </c>
      <c r="F41" s="13">
        <v>16</v>
      </c>
      <c r="G41" s="13">
        <v>50</v>
      </c>
      <c r="H41" s="15">
        <v>45347</v>
      </c>
    </row>
    <row r="42" spans="2:8" ht="28.5" thickBot="1" x14ac:dyDescent="0.25">
      <c r="B42" s="13">
        <v>1040</v>
      </c>
      <c r="C42" s="14" t="s">
        <v>99</v>
      </c>
      <c r="D42" s="14" t="s">
        <v>61</v>
      </c>
      <c r="E42" s="14" t="s">
        <v>56</v>
      </c>
      <c r="F42" s="13">
        <v>27</v>
      </c>
      <c r="G42" s="13">
        <v>10</v>
      </c>
      <c r="H42" s="15">
        <v>45348</v>
      </c>
    </row>
    <row r="43" spans="2:8" ht="28.5" thickBot="1" x14ac:dyDescent="0.25">
      <c r="B43" s="13">
        <v>1041</v>
      </c>
      <c r="C43" s="14" t="s">
        <v>100</v>
      </c>
      <c r="D43" s="14" t="s">
        <v>52</v>
      </c>
      <c r="E43" s="14" t="s">
        <v>59</v>
      </c>
      <c r="F43" s="13">
        <v>21</v>
      </c>
      <c r="G43" s="13">
        <v>25</v>
      </c>
      <c r="H43" s="15">
        <v>45349</v>
      </c>
    </row>
    <row r="44" spans="2:8" ht="28.5" thickBot="1" x14ac:dyDescent="0.25">
      <c r="B44" s="13">
        <v>1042</v>
      </c>
      <c r="C44" s="14" t="s">
        <v>101</v>
      </c>
      <c r="D44" s="14" t="s">
        <v>55</v>
      </c>
      <c r="E44" s="14" t="s">
        <v>63</v>
      </c>
      <c r="F44" s="13">
        <v>30</v>
      </c>
      <c r="G44" s="13">
        <v>5</v>
      </c>
      <c r="H44" s="15">
        <v>45350</v>
      </c>
    </row>
    <row r="45" spans="2:8" ht="28.5" thickBot="1" x14ac:dyDescent="0.25">
      <c r="B45" s="13">
        <v>1043</v>
      </c>
      <c r="C45" s="14" t="s">
        <v>102</v>
      </c>
      <c r="D45" s="14" t="s">
        <v>58</v>
      </c>
      <c r="E45" s="14" t="s">
        <v>66</v>
      </c>
      <c r="F45" s="13">
        <v>26</v>
      </c>
      <c r="G45" s="13">
        <v>8</v>
      </c>
      <c r="H45" s="15">
        <v>45352</v>
      </c>
    </row>
    <row r="46" spans="2:8" ht="28.5" thickBot="1" x14ac:dyDescent="0.25">
      <c r="B46" s="13">
        <v>1044</v>
      </c>
      <c r="C46" s="14" t="s">
        <v>103</v>
      </c>
      <c r="D46" s="14" t="s">
        <v>61</v>
      </c>
      <c r="E46" s="14" t="s">
        <v>53</v>
      </c>
      <c r="F46" s="13">
        <v>14</v>
      </c>
      <c r="G46" s="13">
        <v>50</v>
      </c>
      <c r="H46" s="15">
        <v>45353</v>
      </c>
    </row>
    <row r="47" spans="2:8" ht="28.5" thickBot="1" x14ac:dyDescent="0.25">
      <c r="B47" s="13">
        <v>1045</v>
      </c>
      <c r="C47" s="14" t="s">
        <v>104</v>
      </c>
      <c r="D47" s="14" t="s">
        <v>52</v>
      </c>
      <c r="E47" s="14" t="s">
        <v>56</v>
      </c>
      <c r="F47" s="13">
        <v>20</v>
      </c>
      <c r="G47" s="13">
        <v>10</v>
      </c>
      <c r="H47" s="15">
        <v>45354</v>
      </c>
    </row>
    <row r="48" spans="2:8" ht="28.5" thickBot="1" x14ac:dyDescent="0.25">
      <c r="B48" s="13">
        <v>1046</v>
      </c>
      <c r="C48" s="14" t="s">
        <v>105</v>
      </c>
      <c r="D48" s="14" t="s">
        <v>55</v>
      </c>
      <c r="E48" s="14" t="s">
        <v>59</v>
      </c>
      <c r="F48" s="13">
        <v>17</v>
      </c>
      <c r="G48" s="13">
        <v>25</v>
      </c>
      <c r="H48" s="15">
        <v>45355</v>
      </c>
    </row>
    <row r="49" spans="2:8" ht="28.5" thickBot="1" x14ac:dyDescent="0.25">
      <c r="B49" s="13">
        <v>1047</v>
      </c>
      <c r="C49" s="14" t="s">
        <v>106</v>
      </c>
      <c r="D49" s="14" t="s">
        <v>58</v>
      </c>
      <c r="E49" s="14" t="s">
        <v>63</v>
      </c>
      <c r="F49" s="13">
        <v>19</v>
      </c>
      <c r="G49" s="13">
        <v>5</v>
      </c>
      <c r="H49" s="15">
        <v>45356</v>
      </c>
    </row>
    <row r="50" spans="2:8" ht="28.5" thickBot="1" x14ac:dyDescent="0.25">
      <c r="B50" s="13">
        <v>1048</v>
      </c>
      <c r="C50" s="14" t="s">
        <v>107</v>
      </c>
      <c r="D50" s="14" t="s">
        <v>61</v>
      </c>
      <c r="E50" s="14" t="s">
        <v>66</v>
      </c>
      <c r="F50" s="13">
        <v>32</v>
      </c>
      <c r="G50" s="13">
        <v>8</v>
      </c>
      <c r="H50" s="15">
        <v>45357</v>
      </c>
    </row>
    <row r="51" spans="2:8" ht="15.75" thickBot="1" x14ac:dyDescent="0.25">
      <c r="B51" s="13">
        <v>1049</v>
      </c>
      <c r="C51" s="14" t="s">
        <v>108</v>
      </c>
      <c r="D51" s="14" t="s">
        <v>52</v>
      </c>
      <c r="E51" s="14" t="s">
        <v>53</v>
      </c>
      <c r="F51" s="13">
        <v>12</v>
      </c>
      <c r="G51" s="13">
        <v>50</v>
      </c>
      <c r="H51" s="15">
        <v>45358</v>
      </c>
    </row>
    <row r="52" spans="2:8" ht="28.5" thickBot="1" x14ac:dyDescent="0.25">
      <c r="B52" s="13">
        <v>1050</v>
      </c>
      <c r="C52" s="14" t="s">
        <v>109</v>
      </c>
      <c r="D52" s="14" t="s">
        <v>55</v>
      </c>
      <c r="E52" s="14" t="s">
        <v>56</v>
      </c>
      <c r="F52" s="13">
        <v>25</v>
      </c>
      <c r="G52" s="13">
        <v>10</v>
      </c>
      <c r="H52" s="15">
        <v>45359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BF656-891F-426E-91C2-E2F05FD62B9F}">
  <dimension ref="B3:K54"/>
  <sheetViews>
    <sheetView topLeftCell="D44" workbookViewId="0">
      <selection activeCell="K54" sqref="K54"/>
    </sheetView>
  </sheetViews>
  <sheetFormatPr defaultRowHeight="15" x14ac:dyDescent="0.2"/>
  <cols>
    <col min="5" max="5" width="11.02734375" customWidth="1"/>
    <col min="8" max="8" width="10.4921875" customWidth="1"/>
  </cols>
  <sheetData>
    <row r="3" spans="2:11" ht="19.5" thickBot="1" x14ac:dyDescent="0.3">
      <c r="J3" s="18" t="s">
        <v>113</v>
      </c>
      <c r="K3" s="3" t="s">
        <v>114</v>
      </c>
    </row>
    <row r="4" spans="2:11" ht="28.5" thickBot="1" x14ac:dyDescent="0.25">
      <c r="B4" s="12" t="s">
        <v>44</v>
      </c>
      <c r="C4" s="12" t="s">
        <v>45</v>
      </c>
      <c r="D4" s="12" t="s">
        <v>46</v>
      </c>
      <c r="E4" s="12" t="s">
        <v>47</v>
      </c>
      <c r="F4" s="12" t="s">
        <v>48</v>
      </c>
      <c r="G4" s="12" t="s">
        <v>49</v>
      </c>
      <c r="H4" s="12" t="s">
        <v>50</v>
      </c>
      <c r="J4" s="18" t="s">
        <v>112</v>
      </c>
      <c r="K4" s="19" t="s">
        <v>118</v>
      </c>
    </row>
    <row r="5" spans="2:11" ht="28.5" thickBot="1" x14ac:dyDescent="0.25">
      <c r="B5" s="13">
        <v>1001</v>
      </c>
      <c r="C5" s="14" t="s">
        <v>51</v>
      </c>
      <c r="D5" s="14" t="s">
        <v>52</v>
      </c>
      <c r="E5" s="14" t="s">
        <v>53</v>
      </c>
      <c r="F5" s="13">
        <v>10</v>
      </c>
      <c r="G5" s="13">
        <v>50</v>
      </c>
      <c r="H5" s="15">
        <v>45296</v>
      </c>
      <c r="K5">
        <f>$F5*$G5</f>
        <v>500</v>
      </c>
    </row>
    <row r="6" spans="2:11" ht="23.45" customHeight="1" thickBot="1" x14ac:dyDescent="0.25">
      <c r="B6" s="13">
        <v>1002</v>
      </c>
      <c r="C6" s="14" t="s">
        <v>54</v>
      </c>
      <c r="D6" s="14" t="s">
        <v>55</v>
      </c>
      <c r="E6" s="14" t="s">
        <v>56</v>
      </c>
      <c r="F6" s="13">
        <v>20</v>
      </c>
      <c r="G6" s="13">
        <v>10</v>
      </c>
      <c r="H6" s="15">
        <v>45297</v>
      </c>
      <c r="K6">
        <f t="shared" ref="K6:K54" si="0">$F6*$G6</f>
        <v>200</v>
      </c>
    </row>
    <row r="7" spans="2:11" ht="20.45" customHeight="1" thickBot="1" x14ac:dyDescent="0.25">
      <c r="B7" s="13">
        <v>1003</v>
      </c>
      <c r="C7" s="14" t="s">
        <v>57</v>
      </c>
      <c r="D7" s="14" t="s">
        <v>58</v>
      </c>
      <c r="E7" s="14" t="s">
        <v>59</v>
      </c>
      <c r="F7" s="13">
        <v>15</v>
      </c>
      <c r="G7" s="13">
        <v>25</v>
      </c>
      <c r="H7" s="15">
        <v>45298</v>
      </c>
      <c r="K7">
        <f t="shared" si="0"/>
        <v>375</v>
      </c>
    </row>
    <row r="8" spans="2:11" ht="28.5" thickBot="1" x14ac:dyDescent="0.25">
      <c r="B8" s="13">
        <v>1004</v>
      </c>
      <c r="C8" s="14" t="s">
        <v>60</v>
      </c>
      <c r="D8" s="14" t="s">
        <v>61</v>
      </c>
      <c r="E8" s="14" t="s">
        <v>53</v>
      </c>
      <c r="F8" s="13">
        <v>5</v>
      </c>
      <c r="G8" s="13">
        <v>50</v>
      </c>
      <c r="H8" s="15">
        <v>45299</v>
      </c>
      <c r="K8">
        <f t="shared" si="0"/>
        <v>250</v>
      </c>
    </row>
    <row r="9" spans="2:11" ht="24" customHeight="1" thickBot="1" x14ac:dyDescent="0.25">
      <c r="B9" s="13">
        <v>1005</v>
      </c>
      <c r="C9" s="14" t="s">
        <v>62</v>
      </c>
      <c r="D9" s="14" t="s">
        <v>52</v>
      </c>
      <c r="E9" s="14" t="s">
        <v>63</v>
      </c>
      <c r="F9" s="13">
        <v>30</v>
      </c>
      <c r="G9" s="13">
        <v>5</v>
      </c>
      <c r="H9" s="15">
        <v>45301</v>
      </c>
      <c r="K9">
        <f t="shared" si="0"/>
        <v>150</v>
      </c>
    </row>
    <row r="10" spans="2:11" ht="28.5" thickBot="1" x14ac:dyDescent="0.25">
      <c r="B10" s="13">
        <v>1006</v>
      </c>
      <c r="C10" s="14" t="s">
        <v>64</v>
      </c>
      <c r="D10" s="14" t="s">
        <v>55</v>
      </c>
      <c r="E10" s="14" t="s">
        <v>53</v>
      </c>
      <c r="F10" s="13">
        <v>12</v>
      </c>
      <c r="G10" s="13">
        <v>50</v>
      </c>
      <c r="H10" s="15">
        <v>45302</v>
      </c>
      <c r="K10">
        <f t="shared" si="0"/>
        <v>600</v>
      </c>
    </row>
    <row r="11" spans="2:11" ht="28.5" thickBot="1" x14ac:dyDescent="0.25">
      <c r="B11" s="13">
        <v>1007</v>
      </c>
      <c r="C11" s="14" t="s">
        <v>65</v>
      </c>
      <c r="D11" s="14" t="s">
        <v>58</v>
      </c>
      <c r="E11" s="14" t="s">
        <v>66</v>
      </c>
      <c r="F11" s="13">
        <v>25</v>
      </c>
      <c r="G11" s="13">
        <v>8</v>
      </c>
      <c r="H11" s="15">
        <v>45304</v>
      </c>
      <c r="K11">
        <f t="shared" si="0"/>
        <v>200</v>
      </c>
    </row>
    <row r="12" spans="2:11" ht="28.5" thickBot="1" x14ac:dyDescent="0.25">
      <c r="B12" s="13">
        <v>1008</v>
      </c>
      <c r="C12" s="14" t="s">
        <v>67</v>
      </c>
      <c r="D12" s="14" t="s">
        <v>61</v>
      </c>
      <c r="E12" s="14" t="s">
        <v>56</v>
      </c>
      <c r="F12" s="13">
        <v>18</v>
      </c>
      <c r="G12" s="13">
        <v>10</v>
      </c>
      <c r="H12" s="15">
        <v>45306</v>
      </c>
      <c r="K12">
        <f t="shared" si="0"/>
        <v>180</v>
      </c>
    </row>
    <row r="13" spans="2:11" ht="15.75" thickBot="1" x14ac:dyDescent="0.25">
      <c r="B13" s="13">
        <v>1009</v>
      </c>
      <c r="C13" s="14" t="s">
        <v>68</v>
      </c>
      <c r="D13" s="14" t="s">
        <v>52</v>
      </c>
      <c r="E13" s="14" t="s">
        <v>59</v>
      </c>
      <c r="F13" s="13">
        <v>22</v>
      </c>
      <c r="G13" s="13">
        <v>25</v>
      </c>
      <c r="H13" s="15">
        <v>45308</v>
      </c>
      <c r="K13">
        <f t="shared" si="0"/>
        <v>550</v>
      </c>
    </row>
    <row r="14" spans="2:11" ht="28.5" thickBot="1" x14ac:dyDescent="0.25">
      <c r="B14" s="13">
        <v>1010</v>
      </c>
      <c r="C14" s="14" t="s">
        <v>69</v>
      </c>
      <c r="D14" s="14" t="s">
        <v>55</v>
      </c>
      <c r="E14" s="14" t="s">
        <v>53</v>
      </c>
      <c r="F14" s="13">
        <v>8</v>
      </c>
      <c r="G14" s="13">
        <v>50</v>
      </c>
      <c r="H14" s="15">
        <v>45309</v>
      </c>
      <c r="K14">
        <f t="shared" si="0"/>
        <v>400</v>
      </c>
    </row>
    <row r="15" spans="2:11" ht="15.75" thickBot="1" x14ac:dyDescent="0.25">
      <c r="B15" s="13">
        <v>1011</v>
      </c>
      <c r="C15" s="14" t="s">
        <v>70</v>
      </c>
      <c r="D15" s="14" t="s">
        <v>58</v>
      </c>
      <c r="E15" s="14" t="s">
        <v>63</v>
      </c>
      <c r="F15" s="13">
        <v>40</v>
      </c>
      <c r="G15" s="13">
        <v>5</v>
      </c>
      <c r="H15" s="15">
        <v>45310</v>
      </c>
      <c r="K15">
        <f t="shared" si="0"/>
        <v>200</v>
      </c>
    </row>
    <row r="16" spans="2:11" ht="28.5" thickBot="1" x14ac:dyDescent="0.25">
      <c r="B16" s="13">
        <v>1012</v>
      </c>
      <c r="C16" s="14" t="s">
        <v>71</v>
      </c>
      <c r="D16" s="14" t="s">
        <v>61</v>
      </c>
      <c r="E16" s="14" t="s">
        <v>66</v>
      </c>
      <c r="F16" s="13">
        <v>35</v>
      </c>
      <c r="G16" s="13">
        <v>8</v>
      </c>
      <c r="H16" s="15">
        <v>45311</v>
      </c>
      <c r="K16">
        <f t="shared" si="0"/>
        <v>280</v>
      </c>
    </row>
    <row r="17" spans="2:11" ht="28.5" thickBot="1" x14ac:dyDescent="0.25">
      <c r="B17" s="13">
        <v>1013</v>
      </c>
      <c r="C17" s="14" t="s">
        <v>72</v>
      </c>
      <c r="D17" s="14" t="s">
        <v>52</v>
      </c>
      <c r="E17" s="14" t="s">
        <v>53</v>
      </c>
      <c r="F17" s="13">
        <v>14</v>
      </c>
      <c r="G17" s="13">
        <v>50</v>
      </c>
      <c r="H17" s="15">
        <v>45313</v>
      </c>
      <c r="K17">
        <f t="shared" si="0"/>
        <v>700</v>
      </c>
    </row>
    <row r="18" spans="2:11" ht="28.5" thickBot="1" x14ac:dyDescent="0.25">
      <c r="B18" s="13">
        <v>1014</v>
      </c>
      <c r="C18" s="14" t="s">
        <v>73</v>
      </c>
      <c r="D18" s="14" t="s">
        <v>55</v>
      </c>
      <c r="E18" s="14" t="s">
        <v>56</v>
      </c>
      <c r="F18" s="13">
        <v>28</v>
      </c>
      <c r="G18" s="13">
        <v>10</v>
      </c>
      <c r="H18" s="15">
        <v>45314</v>
      </c>
      <c r="K18">
        <f t="shared" si="0"/>
        <v>280</v>
      </c>
    </row>
    <row r="19" spans="2:11" ht="28.5" thickBot="1" x14ac:dyDescent="0.25">
      <c r="B19" s="13">
        <v>1015</v>
      </c>
      <c r="C19" s="14" t="s">
        <v>74</v>
      </c>
      <c r="D19" s="14" t="s">
        <v>58</v>
      </c>
      <c r="E19" s="14" t="s">
        <v>59</v>
      </c>
      <c r="F19" s="13">
        <v>12</v>
      </c>
      <c r="G19" s="13">
        <v>25</v>
      </c>
      <c r="H19" s="15">
        <v>45315</v>
      </c>
      <c r="K19">
        <f t="shared" si="0"/>
        <v>300</v>
      </c>
    </row>
    <row r="20" spans="2:11" ht="28.5" thickBot="1" x14ac:dyDescent="0.25">
      <c r="B20" s="13">
        <v>1016</v>
      </c>
      <c r="C20" s="14" t="s">
        <v>75</v>
      </c>
      <c r="D20" s="14" t="s">
        <v>61</v>
      </c>
      <c r="E20" s="14" t="s">
        <v>63</v>
      </c>
      <c r="F20" s="13">
        <v>25</v>
      </c>
      <c r="G20" s="13">
        <v>5</v>
      </c>
      <c r="H20" s="15">
        <v>45317</v>
      </c>
      <c r="K20">
        <f t="shared" si="0"/>
        <v>125</v>
      </c>
    </row>
    <row r="21" spans="2:11" ht="28.5" thickBot="1" x14ac:dyDescent="0.25">
      <c r="B21" s="13">
        <v>1017</v>
      </c>
      <c r="C21" s="14" t="s">
        <v>76</v>
      </c>
      <c r="D21" s="14" t="s">
        <v>52</v>
      </c>
      <c r="E21" s="14" t="s">
        <v>66</v>
      </c>
      <c r="F21" s="13">
        <v>20</v>
      </c>
      <c r="G21" s="13">
        <v>8</v>
      </c>
      <c r="H21" s="15">
        <v>45319</v>
      </c>
      <c r="K21">
        <f t="shared" si="0"/>
        <v>160</v>
      </c>
    </row>
    <row r="22" spans="2:11" ht="28.5" thickBot="1" x14ac:dyDescent="0.25">
      <c r="B22" s="13">
        <v>1018</v>
      </c>
      <c r="C22" s="14" t="s">
        <v>77</v>
      </c>
      <c r="D22" s="14" t="s">
        <v>55</v>
      </c>
      <c r="E22" s="14" t="s">
        <v>53</v>
      </c>
      <c r="F22" s="13">
        <v>10</v>
      </c>
      <c r="G22" s="13">
        <v>50</v>
      </c>
      <c r="H22" s="15">
        <v>45320</v>
      </c>
      <c r="K22">
        <f t="shared" si="0"/>
        <v>500</v>
      </c>
    </row>
    <row r="23" spans="2:11" ht="28.5" thickBot="1" x14ac:dyDescent="0.25">
      <c r="B23" s="13">
        <v>1019</v>
      </c>
      <c r="C23" s="14" t="s">
        <v>78</v>
      </c>
      <c r="D23" s="14" t="s">
        <v>58</v>
      </c>
      <c r="E23" s="14" t="s">
        <v>56</v>
      </c>
      <c r="F23" s="13">
        <v>15</v>
      </c>
      <c r="G23" s="13">
        <v>10</v>
      </c>
      <c r="H23" s="15">
        <v>45321</v>
      </c>
      <c r="K23">
        <f t="shared" si="0"/>
        <v>150</v>
      </c>
    </row>
    <row r="24" spans="2:11" ht="28.5" thickBot="1" x14ac:dyDescent="0.25">
      <c r="B24" s="13">
        <v>1020</v>
      </c>
      <c r="C24" s="14" t="s">
        <v>79</v>
      </c>
      <c r="D24" s="14" t="s">
        <v>61</v>
      </c>
      <c r="E24" s="14" t="s">
        <v>59</v>
      </c>
      <c r="F24" s="13">
        <v>18</v>
      </c>
      <c r="G24" s="13">
        <v>25</v>
      </c>
      <c r="H24" s="15">
        <v>45323</v>
      </c>
      <c r="K24">
        <f t="shared" si="0"/>
        <v>450</v>
      </c>
    </row>
    <row r="25" spans="2:11" ht="28.5" thickBot="1" x14ac:dyDescent="0.25">
      <c r="B25" s="13">
        <v>1021</v>
      </c>
      <c r="C25" s="14" t="s">
        <v>80</v>
      </c>
      <c r="D25" s="14" t="s">
        <v>52</v>
      </c>
      <c r="E25" s="14" t="s">
        <v>53</v>
      </c>
      <c r="F25" s="13">
        <v>9</v>
      </c>
      <c r="G25" s="13">
        <v>50</v>
      </c>
      <c r="H25" s="15">
        <v>45324</v>
      </c>
      <c r="K25">
        <f t="shared" si="0"/>
        <v>450</v>
      </c>
    </row>
    <row r="26" spans="2:11" ht="28.5" thickBot="1" x14ac:dyDescent="0.25">
      <c r="B26" s="13">
        <v>1022</v>
      </c>
      <c r="C26" s="14" t="s">
        <v>81</v>
      </c>
      <c r="D26" s="14" t="s">
        <v>55</v>
      </c>
      <c r="E26" s="14" t="s">
        <v>63</v>
      </c>
      <c r="F26" s="13">
        <v>35</v>
      </c>
      <c r="G26" s="13">
        <v>5</v>
      </c>
      <c r="H26" s="15">
        <v>45325</v>
      </c>
      <c r="K26">
        <f t="shared" si="0"/>
        <v>175</v>
      </c>
    </row>
    <row r="27" spans="2:11" ht="28.5" thickBot="1" x14ac:dyDescent="0.25">
      <c r="B27" s="13">
        <v>1023</v>
      </c>
      <c r="C27" s="14" t="s">
        <v>82</v>
      </c>
      <c r="D27" s="14" t="s">
        <v>58</v>
      </c>
      <c r="E27" s="14" t="s">
        <v>66</v>
      </c>
      <c r="F27" s="13">
        <v>30</v>
      </c>
      <c r="G27" s="13">
        <v>8</v>
      </c>
      <c r="H27" s="15">
        <v>45326</v>
      </c>
      <c r="K27">
        <f t="shared" si="0"/>
        <v>240</v>
      </c>
    </row>
    <row r="28" spans="2:11" ht="28.5" thickBot="1" x14ac:dyDescent="0.25">
      <c r="B28" s="13">
        <v>1024</v>
      </c>
      <c r="C28" s="14" t="s">
        <v>83</v>
      </c>
      <c r="D28" s="14" t="s">
        <v>61</v>
      </c>
      <c r="E28" s="14" t="s">
        <v>53</v>
      </c>
      <c r="F28" s="13">
        <v>11</v>
      </c>
      <c r="G28" s="13">
        <v>50</v>
      </c>
      <c r="H28" s="15">
        <v>45328</v>
      </c>
      <c r="K28">
        <f t="shared" si="0"/>
        <v>550</v>
      </c>
    </row>
    <row r="29" spans="2:11" ht="28.5" thickBot="1" x14ac:dyDescent="0.25">
      <c r="B29" s="13">
        <v>1025</v>
      </c>
      <c r="C29" s="14" t="s">
        <v>84</v>
      </c>
      <c r="D29" s="14" t="s">
        <v>52</v>
      </c>
      <c r="E29" s="14" t="s">
        <v>56</v>
      </c>
      <c r="F29" s="13">
        <v>14</v>
      </c>
      <c r="G29" s="13">
        <v>10</v>
      </c>
      <c r="H29" s="15">
        <v>45329</v>
      </c>
      <c r="K29">
        <f t="shared" si="0"/>
        <v>140</v>
      </c>
    </row>
    <row r="30" spans="2:11" ht="28.5" thickBot="1" x14ac:dyDescent="0.25">
      <c r="B30" s="13">
        <v>1026</v>
      </c>
      <c r="C30" s="14" t="s">
        <v>85</v>
      </c>
      <c r="D30" s="14" t="s">
        <v>55</v>
      </c>
      <c r="E30" s="14" t="s">
        <v>59</v>
      </c>
      <c r="F30" s="13">
        <v>16</v>
      </c>
      <c r="G30" s="13">
        <v>25</v>
      </c>
      <c r="H30" s="15">
        <v>45330</v>
      </c>
      <c r="K30">
        <f t="shared" si="0"/>
        <v>400</v>
      </c>
    </row>
    <row r="31" spans="2:11" ht="28.5" thickBot="1" x14ac:dyDescent="0.25">
      <c r="B31" s="13">
        <v>1027</v>
      </c>
      <c r="C31" s="14" t="s">
        <v>86</v>
      </c>
      <c r="D31" s="14" t="s">
        <v>58</v>
      </c>
      <c r="E31" s="14" t="s">
        <v>63</v>
      </c>
      <c r="F31" s="13">
        <v>22</v>
      </c>
      <c r="G31" s="13">
        <v>5</v>
      </c>
      <c r="H31" s="15">
        <v>45331</v>
      </c>
      <c r="K31">
        <f t="shared" si="0"/>
        <v>110</v>
      </c>
    </row>
    <row r="32" spans="2:11" ht="28.5" thickBot="1" x14ac:dyDescent="0.25">
      <c r="B32" s="13">
        <v>1028</v>
      </c>
      <c r="C32" s="14" t="s">
        <v>87</v>
      </c>
      <c r="D32" s="14" t="s">
        <v>61</v>
      </c>
      <c r="E32" s="14" t="s">
        <v>66</v>
      </c>
      <c r="F32" s="13">
        <v>27</v>
      </c>
      <c r="G32" s="13">
        <v>8</v>
      </c>
      <c r="H32" s="15">
        <v>45332</v>
      </c>
      <c r="K32">
        <f t="shared" si="0"/>
        <v>216</v>
      </c>
    </row>
    <row r="33" spans="2:11" ht="28.5" thickBot="1" x14ac:dyDescent="0.25">
      <c r="B33" s="13">
        <v>1029</v>
      </c>
      <c r="C33" s="14" t="s">
        <v>88</v>
      </c>
      <c r="D33" s="14" t="s">
        <v>52</v>
      </c>
      <c r="E33" s="14" t="s">
        <v>53</v>
      </c>
      <c r="F33" s="13">
        <v>13</v>
      </c>
      <c r="G33" s="13">
        <v>50</v>
      </c>
      <c r="H33" s="15">
        <v>45334</v>
      </c>
      <c r="K33">
        <f t="shared" si="0"/>
        <v>650</v>
      </c>
    </row>
    <row r="34" spans="2:11" ht="28.5" thickBot="1" x14ac:dyDescent="0.25">
      <c r="B34" s="13">
        <v>1030</v>
      </c>
      <c r="C34" s="14" t="s">
        <v>89</v>
      </c>
      <c r="D34" s="14" t="s">
        <v>55</v>
      </c>
      <c r="E34" s="14" t="s">
        <v>56</v>
      </c>
      <c r="F34" s="13">
        <v>32</v>
      </c>
      <c r="G34" s="13">
        <v>10</v>
      </c>
      <c r="H34" s="15">
        <v>45335</v>
      </c>
      <c r="K34">
        <f t="shared" si="0"/>
        <v>320</v>
      </c>
    </row>
    <row r="35" spans="2:11" ht="28.5" thickBot="1" x14ac:dyDescent="0.25">
      <c r="B35" s="13">
        <v>1031</v>
      </c>
      <c r="C35" s="14" t="s">
        <v>90</v>
      </c>
      <c r="D35" s="14" t="s">
        <v>58</v>
      </c>
      <c r="E35" s="14" t="s">
        <v>59</v>
      </c>
      <c r="F35" s="13">
        <v>10</v>
      </c>
      <c r="G35" s="13">
        <v>25</v>
      </c>
      <c r="H35" s="15">
        <v>45336</v>
      </c>
      <c r="K35">
        <f t="shared" si="0"/>
        <v>250</v>
      </c>
    </row>
    <row r="36" spans="2:11" ht="15.75" thickBot="1" x14ac:dyDescent="0.25">
      <c r="B36" s="13">
        <v>1032</v>
      </c>
      <c r="C36" s="14" t="s">
        <v>91</v>
      </c>
      <c r="D36" s="14" t="s">
        <v>61</v>
      </c>
      <c r="E36" s="14" t="s">
        <v>63</v>
      </c>
      <c r="F36" s="13">
        <v>18</v>
      </c>
      <c r="G36" s="13">
        <v>5</v>
      </c>
      <c r="H36" s="15">
        <v>45338</v>
      </c>
      <c r="K36">
        <f t="shared" si="0"/>
        <v>90</v>
      </c>
    </row>
    <row r="37" spans="2:11" ht="28.5" thickBot="1" x14ac:dyDescent="0.25">
      <c r="B37" s="13">
        <v>1033</v>
      </c>
      <c r="C37" s="14" t="s">
        <v>92</v>
      </c>
      <c r="D37" s="14" t="s">
        <v>52</v>
      </c>
      <c r="E37" s="14" t="s">
        <v>66</v>
      </c>
      <c r="F37" s="13">
        <v>22</v>
      </c>
      <c r="G37" s="13">
        <v>8</v>
      </c>
      <c r="H37" s="15">
        <v>45339</v>
      </c>
      <c r="K37">
        <f t="shared" si="0"/>
        <v>176</v>
      </c>
    </row>
    <row r="38" spans="2:11" ht="28.5" thickBot="1" x14ac:dyDescent="0.25">
      <c r="B38" s="13">
        <v>1034</v>
      </c>
      <c r="C38" s="14" t="s">
        <v>93</v>
      </c>
      <c r="D38" s="14" t="s">
        <v>55</v>
      </c>
      <c r="E38" s="14" t="s">
        <v>53</v>
      </c>
      <c r="F38" s="13">
        <v>17</v>
      </c>
      <c r="G38" s="13">
        <v>50</v>
      </c>
      <c r="H38" s="15">
        <v>45340</v>
      </c>
      <c r="K38">
        <f t="shared" si="0"/>
        <v>850</v>
      </c>
    </row>
    <row r="39" spans="2:11" ht="15.75" thickBot="1" x14ac:dyDescent="0.25">
      <c r="B39" s="13">
        <v>1035</v>
      </c>
      <c r="C39" s="14" t="s">
        <v>94</v>
      </c>
      <c r="D39" s="14" t="s">
        <v>58</v>
      </c>
      <c r="E39" s="14" t="s">
        <v>56</v>
      </c>
      <c r="F39" s="13">
        <v>19</v>
      </c>
      <c r="G39" s="13">
        <v>10</v>
      </c>
      <c r="H39" s="15">
        <v>45341</v>
      </c>
      <c r="K39">
        <f t="shared" si="0"/>
        <v>190</v>
      </c>
    </row>
    <row r="40" spans="2:11" ht="28.5" thickBot="1" x14ac:dyDescent="0.25">
      <c r="B40" s="13">
        <v>1036</v>
      </c>
      <c r="C40" s="14" t="s">
        <v>95</v>
      </c>
      <c r="D40" s="14" t="s">
        <v>61</v>
      </c>
      <c r="E40" s="14" t="s">
        <v>59</v>
      </c>
      <c r="F40" s="13">
        <v>15</v>
      </c>
      <c r="G40" s="13">
        <v>25</v>
      </c>
      <c r="H40" s="15">
        <v>45343</v>
      </c>
      <c r="K40">
        <f t="shared" si="0"/>
        <v>375</v>
      </c>
    </row>
    <row r="41" spans="2:11" ht="15.75" thickBot="1" x14ac:dyDescent="0.25">
      <c r="B41" s="13">
        <v>1037</v>
      </c>
      <c r="C41" s="14" t="s">
        <v>96</v>
      </c>
      <c r="D41" s="14" t="s">
        <v>52</v>
      </c>
      <c r="E41" s="14" t="s">
        <v>63</v>
      </c>
      <c r="F41" s="13">
        <v>28</v>
      </c>
      <c r="G41" s="13">
        <v>5</v>
      </c>
      <c r="H41" s="15">
        <v>45344</v>
      </c>
      <c r="K41">
        <f t="shared" si="0"/>
        <v>140</v>
      </c>
    </row>
    <row r="42" spans="2:11" ht="28.5" thickBot="1" x14ac:dyDescent="0.25">
      <c r="B42" s="13">
        <v>1038</v>
      </c>
      <c r="C42" s="14" t="s">
        <v>97</v>
      </c>
      <c r="D42" s="14" t="s">
        <v>55</v>
      </c>
      <c r="E42" s="14" t="s">
        <v>66</v>
      </c>
      <c r="F42" s="13">
        <v>24</v>
      </c>
      <c r="G42" s="13">
        <v>8</v>
      </c>
      <c r="H42" s="15">
        <v>45345</v>
      </c>
      <c r="K42">
        <f t="shared" si="0"/>
        <v>192</v>
      </c>
    </row>
    <row r="43" spans="2:11" ht="28.5" thickBot="1" x14ac:dyDescent="0.25">
      <c r="B43" s="13">
        <v>1039</v>
      </c>
      <c r="C43" s="14" t="s">
        <v>98</v>
      </c>
      <c r="D43" s="14" t="s">
        <v>58</v>
      </c>
      <c r="E43" s="14" t="s">
        <v>53</v>
      </c>
      <c r="F43" s="13">
        <v>16</v>
      </c>
      <c r="G43" s="13">
        <v>50</v>
      </c>
      <c r="H43" s="15">
        <v>45347</v>
      </c>
      <c r="K43">
        <f t="shared" si="0"/>
        <v>800</v>
      </c>
    </row>
    <row r="44" spans="2:11" ht="28.5" thickBot="1" x14ac:dyDescent="0.25">
      <c r="B44" s="13">
        <v>1040</v>
      </c>
      <c r="C44" s="14" t="s">
        <v>99</v>
      </c>
      <c r="D44" s="14" t="s">
        <v>61</v>
      </c>
      <c r="E44" s="14" t="s">
        <v>56</v>
      </c>
      <c r="F44" s="13">
        <v>27</v>
      </c>
      <c r="G44" s="13">
        <v>10</v>
      </c>
      <c r="H44" s="15">
        <v>45348</v>
      </c>
      <c r="K44">
        <f t="shared" si="0"/>
        <v>270</v>
      </c>
    </row>
    <row r="45" spans="2:11" ht="28.5" thickBot="1" x14ac:dyDescent="0.25">
      <c r="B45" s="13">
        <v>1041</v>
      </c>
      <c r="C45" s="14" t="s">
        <v>100</v>
      </c>
      <c r="D45" s="14" t="s">
        <v>52</v>
      </c>
      <c r="E45" s="14" t="s">
        <v>59</v>
      </c>
      <c r="F45" s="13">
        <v>21</v>
      </c>
      <c r="G45" s="13">
        <v>25</v>
      </c>
      <c r="H45" s="15">
        <v>45349</v>
      </c>
      <c r="K45">
        <f t="shared" si="0"/>
        <v>525</v>
      </c>
    </row>
    <row r="46" spans="2:11" ht="28.5" thickBot="1" x14ac:dyDescent="0.25">
      <c r="B46" s="13">
        <v>1042</v>
      </c>
      <c r="C46" s="14" t="s">
        <v>101</v>
      </c>
      <c r="D46" s="14" t="s">
        <v>55</v>
      </c>
      <c r="E46" s="14" t="s">
        <v>63</v>
      </c>
      <c r="F46" s="13">
        <v>30</v>
      </c>
      <c r="G46" s="13">
        <v>5</v>
      </c>
      <c r="H46" s="15">
        <v>45350</v>
      </c>
      <c r="K46">
        <f t="shared" si="0"/>
        <v>150</v>
      </c>
    </row>
    <row r="47" spans="2:11" ht="28.5" thickBot="1" x14ac:dyDescent="0.25">
      <c r="B47" s="13">
        <v>1043</v>
      </c>
      <c r="C47" s="14" t="s">
        <v>102</v>
      </c>
      <c r="D47" s="14" t="s">
        <v>58</v>
      </c>
      <c r="E47" s="14" t="s">
        <v>66</v>
      </c>
      <c r="F47" s="13">
        <v>26</v>
      </c>
      <c r="G47" s="13">
        <v>8</v>
      </c>
      <c r="H47" s="15">
        <v>45352</v>
      </c>
      <c r="K47">
        <f t="shared" si="0"/>
        <v>208</v>
      </c>
    </row>
    <row r="48" spans="2:11" ht="28.5" thickBot="1" x14ac:dyDescent="0.25">
      <c r="B48" s="13">
        <v>1044</v>
      </c>
      <c r="C48" s="14" t="s">
        <v>103</v>
      </c>
      <c r="D48" s="14" t="s">
        <v>61</v>
      </c>
      <c r="E48" s="14" t="s">
        <v>53</v>
      </c>
      <c r="F48" s="13">
        <v>14</v>
      </c>
      <c r="G48" s="13">
        <v>50</v>
      </c>
      <c r="H48" s="15">
        <v>45353</v>
      </c>
      <c r="K48">
        <f t="shared" si="0"/>
        <v>700</v>
      </c>
    </row>
    <row r="49" spans="2:11" ht="28.5" thickBot="1" x14ac:dyDescent="0.25">
      <c r="B49" s="13">
        <v>1045</v>
      </c>
      <c r="C49" s="14" t="s">
        <v>104</v>
      </c>
      <c r="D49" s="14" t="s">
        <v>52</v>
      </c>
      <c r="E49" s="14" t="s">
        <v>56</v>
      </c>
      <c r="F49" s="13">
        <v>20</v>
      </c>
      <c r="G49" s="13">
        <v>10</v>
      </c>
      <c r="H49" s="15">
        <v>45354</v>
      </c>
      <c r="K49">
        <f t="shared" si="0"/>
        <v>200</v>
      </c>
    </row>
    <row r="50" spans="2:11" ht="28.5" thickBot="1" x14ac:dyDescent="0.25">
      <c r="B50" s="13">
        <v>1046</v>
      </c>
      <c r="C50" s="14" t="s">
        <v>105</v>
      </c>
      <c r="D50" s="14" t="s">
        <v>55</v>
      </c>
      <c r="E50" s="14" t="s">
        <v>59</v>
      </c>
      <c r="F50" s="13">
        <v>17</v>
      </c>
      <c r="G50" s="13">
        <v>25</v>
      </c>
      <c r="H50" s="15">
        <v>45355</v>
      </c>
      <c r="K50">
        <f t="shared" si="0"/>
        <v>425</v>
      </c>
    </row>
    <row r="51" spans="2:11" ht="28.5" thickBot="1" x14ac:dyDescent="0.25">
      <c r="B51" s="13">
        <v>1047</v>
      </c>
      <c r="C51" s="14" t="s">
        <v>106</v>
      </c>
      <c r="D51" s="14" t="s">
        <v>58</v>
      </c>
      <c r="E51" s="14" t="s">
        <v>63</v>
      </c>
      <c r="F51" s="13">
        <v>19</v>
      </c>
      <c r="G51" s="13">
        <v>5</v>
      </c>
      <c r="H51" s="15">
        <v>45356</v>
      </c>
      <c r="K51">
        <f t="shared" si="0"/>
        <v>95</v>
      </c>
    </row>
    <row r="52" spans="2:11" ht="28.5" thickBot="1" x14ac:dyDescent="0.25">
      <c r="B52" s="13">
        <v>1048</v>
      </c>
      <c r="C52" s="14" t="s">
        <v>107</v>
      </c>
      <c r="D52" s="14" t="s">
        <v>61</v>
      </c>
      <c r="E52" s="14" t="s">
        <v>66</v>
      </c>
      <c r="F52" s="13">
        <v>32</v>
      </c>
      <c r="G52" s="13">
        <v>8</v>
      </c>
      <c r="H52" s="15">
        <v>45357</v>
      </c>
      <c r="K52">
        <f t="shared" si="0"/>
        <v>256</v>
      </c>
    </row>
    <row r="53" spans="2:11" ht="15.75" thickBot="1" x14ac:dyDescent="0.25">
      <c r="B53" s="13">
        <v>1049</v>
      </c>
      <c r="C53" s="14" t="s">
        <v>108</v>
      </c>
      <c r="D53" s="14" t="s">
        <v>52</v>
      </c>
      <c r="E53" s="14" t="s">
        <v>53</v>
      </c>
      <c r="F53" s="13">
        <v>12</v>
      </c>
      <c r="G53" s="13">
        <v>50</v>
      </c>
      <c r="H53" s="15">
        <v>45358</v>
      </c>
      <c r="K53">
        <f t="shared" si="0"/>
        <v>600</v>
      </c>
    </row>
    <row r="54" spans="2:11" ht="28.5" thickBot="1" x14ac:dyDescent="0.25">
      <c r="B54" s="13">
        <v>1050</v>
      </c>
      <c r="C54" s="14" t="s">
        <v>109</v>
      </c>
      <c r="D54" s="14" t="s">
        <v>55</v>
      </c>
      <c r="E54" s="14" t="s">
        <v>56</v>
      </c>
      <c r="F54" s="13">
        <v>25</v>
      </c>
      <c r="G54" s="13">
        <v>10</v>
      </c>
      <c r="H54" s="15">
        <v>45359</v>
      </c>
      <c r="K54">
        <f t="shared" si="0"/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1399-4B8A-47BA-A9F9-5D0AD0C05481}">
  <dimension ref="B1:L52"/>
  <sheetViews>
    <sheetView topLeftCell="H1" zoomScaleNormal="100" workbookViewId="0">
      <selection activeCell="J52" sqref="J52"/>
    </sheetView>
  </sheetViews>
  <sheetFormatPr defaultRowHeight="15" x14ac:dyDescent="0.2"/>
  <cols>
    <col min="5" max="5" width="10.22265625" customWidth="1"/>
    <col min="8" max="8" width="10.35546875" bestFit="1" customWidth="1"/>
    <col min="9" max="9" width="8.875" customWidth="1"/>
  </cols>
  <sheetData>
    <row r="1" spans="2:12" ht="15.75" thickBot="1" x14ac:dyDescent="0.25"/>
    <row r="2" spans="2:12" ht="29.25" thickBot="1" x14ac:dyDescent="0.3">
      <c r="B2" s="12" t="s">
        <v>44</v>
      </c>
      <c r="C2" s="12" t="s">
        <v>45</v>
      </c>
      <c r="D2" s="12" t="s">
        <v>46</v>
      </c>
      <c r="E2" s="12" t="s">
        <v>47</v>
      </c>
      <c r="F2" s="12" t="s">
        <v>48</v>
      </c>
      <c r="G2" s="12" t="s">
        <v>49</v>
      </c>
      <c r="H2" s="20" t="s">
        <v>50</v>
      </c>
      <c r="I2" s="21" t="s">
        <v>119</v>
      </c>
      <c r="K2" s="17" t="s">
        <v>117</v>
      </c>
      <c r="L2" s="3" t="s">
        <v>116</v>
      </c>
    </row>
    <row r="3" spans="2:12" ht="29.25" thickBot="1" x14ac:dyDescent="0.3">
      <c r="B3" s="13">
        <v>1001</v>
      </c>
      <c r="C3" s="14" t="s">
        <v>51</v>
      </c>
      <c r="D3" s="14" t="s">
        <v>52</v>
      </c>
      <c r="E3" s="14" t="s">
        <v>53</v>
      </c>
      <c r="F3" s="13">
        <v>10</v>
      </c>
      <c r="G3" s="13">
        <v>50</v>
      </c>
      <c r="H3" s="15">
        <v>45296</v>
      </c>
      <c r="I3">
        <f>$F3*$G3</f>
        <v>500</v>
      </c>
      <c r="K3" s="5" t="s">
        <v>112</v>
      </c>
      <c r="L3">
        <f>SUMIFS(I3:I52,E3:E52,"Notebook",D3:D52,"North")</f>
        <v>2900</v>
      </c>
    </row>
    <row r="4" spans="2:12" ht="28.5" thickBot="1" x14ac:dyDescent="0.25">
      <c r="B4" s="13">
        <v>1002</v>
      </c>
      <c r="C4" s="14" t="s">
        <v>54</v>
      </c>
      <c r="D4" s="14" t="s">
        <v>55</v>
      </c>
      <c r="E4" s="14" t="s">
        <v>56</v>
      </c>
      <c r="F4" s="13">
        <v>20</v>
      </c>
      <c r="G4" s="13">
        <v>10</v>
      </c>
      <c r="H4" s="15">
        <v>45297</v>
      </c>
      <c r="I4">
        <f t="shared" ref="I4:I52" si="0">$F4*$G4</f>
        <v>200</v>
      </c>
    </row>
    <row r="5" spans="2:12" ht="28.5" thickBot="1" x14ac:dyDescent="0.25">
      <c r="B5" s="13">
        <v>1003</v>
      </c>
      <c r="C5" s="14" t="s">
        <v>57</v>
      </c>
      <c r="D5" s="14" t="s">
        <v>58</v>
      </c>
      <c r="E5" s="14" t="s">
        <v>59</v>
      </c>
      <c r="F5" s="13">
        <v>15</v>
      </c>
      <c r="G5" s="13">
        <v>25</v>
      </c>
      <c r="H5" s="15">
        <v>45298</v>
      </c>
      <c r="I5">
        <f t="shared" si="0"/>
        <v>375</v>
      </c>
    </row>
    <row r="6" spans="2:12" ht="28.5" thickBot="1" x14ac:dyDescent="0.25">
      <c r="B6" s="13">
        <v>1004</v>
      </c>
      <c r="C6" s="14" t="s">
        <v>60</v>
      </c>
      <c r="D6" s="14" t="s">
        <v>61</v>
      </c>
      <c r="E6" s="14" t="s">
        <v>53</v>
      </c>
      <c r="F6" s="13">
        <v>5</v>
      </c>
      <c r="G6" s="13">
        <v>50</v>
      </c>
      <c r="H6" s="15">
        <v>45299</v>
      </c>
      <c r="I6">
        <f t="shared" si="0"/>
        <v>250</v>
      </c>
    </row>
    <row r="7" spans="2:12" ht="15.75" thickBot="1" x14ac:dyDescent="0.25">
      <c r="B7" s="13">
        <v>1005</v>
      </c>
      <c r="C7" s="14" t="s">
        <v>62</v>
      </c>
      <c r="D7" s="14" t="s">
        <v>52</v>
      </c>
      <c r="E7" s="14" t="s">
        <v>63</v>
      </c>
      <c r="F7" s="13">
        <v>30</v>
      </c>
      <c r="G7" s="13">
        <v>5</v>
      </c>
      <c r="H7" s="15">
        <v>45301</v>
      </c>
      <c r="I7">
        <f t="shared" si="0"/>
        <v>150</v>
      </c>
    </row>
    <row r="8" spans="2:12" ht="28.5" thickBot="1" x14ac:dyDescent="0.25">
      <c r="B8" s="13">
        <v>1006</v>
      </c>
      <c r="C8" s="14" t="s">
        <v>64</v>
      </c>
      <c r="D8" s="14" t="s">
        <v>55</v>
      </c>
      <c r="E8" s="14" t="s">
        <v>53</v>
      </c>
      <c r="F8" s="13">
        <v>12</v>
      </c>
      <c r="G8" s="13">
        <v>50</v>
      </c>
      <c r="H8" s="15">
        <v>45302</v>
      </c>
      <c r="I8">
        <f t="shared" si="0"/>
        <v>600</v>
      </c>
    </row>
    <row r="9" spans="2:12" ht="28.5" thickBot="1" x14ac:dyDescent="0.25">
      <c r="B9" s="13">
        <v>1007</v>
      </c>
      <c r="C9" s="14" t="s">
        <v>65</v>
      </c>
      <c r="D9" s="14" t="s">
        <v>58</v>
      </c>
      <c r="E9" s="14" t="s">
        <v>66</v>
      </c>
      <c r="F9" s="13">
        <v>25</v>
      </c>
      <c r="G9" s="13">
        <v>8</v>
      </c>
      <c r="H9" s="15">
        <v>45304</v>
      </c>
      <c r="I9">
        <f t="shared" si="0"/>
        <v>200</v>
      </c>
    </row>
    <row r="10" spans="2:12" ht="28.5" thickBot="1" x14ac:dyDescent="0.25">
      <c r="B10" s="13">
        <v>1008</v>
      </c>
      <c r="C10" s="14" t="s">
        <v>67</v>
      </c>
      <c r="D10" s="14" t="s">
        <v>61</v>
      </c>
      <c r="E10" s="14" t="s">
        <v>56</v>
      </c>
      <c r="F10" s="13">
        <v>18</v>
      </c>
      <c r="G10" s="13">
        <v>10</v>
      </c>
      <c r="H10" s="15">
        <v>45306</v>
      </c>
      <c r="I10">
        <f t="shared" si="0"/>
        <v>180</v>
      </c>
    </row>
    <row r="11" spans="2:12" ht="15.75" thickBot="1" x14ac:dyDescent="0.25">
      <c r="B11" s="13">
        <v>1009</v>
      </c>
      <c r="C11" s="14" t="s">
        <v>68</v>
      </c>
      <c r="D11" s="14" t="s">
        <v>52</v>
      </c>
      <c r="E11" s="14" t="s">
        <v>59</v>
      </c>
      <c r="F11" s="13">
        <v>22</v>
      </c>
      <c r="G11" s="13">
        <v>25</v>
      </c>
      <c r="H11" s="15">
        <v>45308</v>
      </c>
      <c r="I11">
        <f t="shared" si="0"/>
        <v>550</v>
      </c>
    </row>
    <row r="12" spans="2:12" ht="28.5" thickBot="1" x14ac:dyDescent="0.25">
      <c r="B12" s="13">
        <v>1010</v>
      </c>
      <c r="C12" s="14" t="s">
        <v>69</v>
      </c>
      <c r="D12" s="14" t="s">
        <v>55</v>
      </c>
      <c r="E12" s="14" t="s">
        <v>53</v>
      </c>
      <c r="F12" s="13">
        <v>8</v>
      </c>
      <c r="G12" s="13">
        <v>50</v>
      </c>
      <c r="H12" s="15">
        <v>45309</v>
      </c>
      <c r="I12">
        <f t="shared" si="0"/>
        <v>400</v>
      </c>
    </row>
    <row r="13" spans="2:12" ht="15.75" thickBot="1" x14ac:dyDescent="0.25">
      <c r="B13" s="13">
        <v>1011</v>
      </c>
      <c r="C13" s="14" t="s">
        <v>70</v>
      </c>
      <c r="D13" s="14" t="s">
        <v>58</v>
      </c>
      <c r="E13" s="14" t="s">
        <v>63</v>
      </c>
      <c r="F13" s="13">
        <v>40</v>
      </c>
      <c r="G13" s="13">
        <v>5</v>
      </c>
      <c r="H13" s="15">
        <v>45310</v>
      </c>
      <c r="I13">
        <f t="shared" si="0"/>
        <v>200</v>
      </c>
    </row>
    <row r="14" spans="2:12" ht="28.5" thickBot="1" x14ac:dyDescent="0.25">
      <c r="B14" s="13">
        <v>1012</v>
      </c>
      <c r="C14" s="14" t="s">
        <v>71</v>
      </c>
      <c r="D14" s="14" t="s">
        <v>61</v>
      </c>
      <c r="E14" s="14" t="s">
        <v>66</v>
      </c>
      <c r="F14" s="13">
        <v>35</v>
      </c>
      <c r="G14" s="13">
        <v>8</v>
      </c>
      <c r="H14" s="15">
        <v>45311</v>
      </c>
      <c r="I14">
        <f t="shared" si="0"/>
        <v>280</v>
      </c>
    </row>
    <row r="15" spans="2:12" ht="28.5" thickBot="1" x14ac:dyDescent="0.25">
      <c r="B15" s="13">
        <v>1013</v>
      </c>
      <c r="C15" s="14" t="s">
        <v>72</v>
      </c>
      <c r="D15" s="14" t="s">
        <v>52</v>
      </c>
      <c r="E15" s="14" t="s">
        <v>53</v>
      </c>
      <c r="F15" s="13">
        <v>14</v>
      </c>
      <c r="G15" s="13">
        <v>50</v>
      </c>
      <c r="H15" s="15">
        <v>45313</v>
      </c>
      <c r="I15">
        <f t="shared" si="0"/>
        <v>700</v>
      </c>
    </row>
    <row r="16" spans="2:12" ht="28.5" thickBot="1" x14ac:dyDescent="0.25">
      <c r="B16" s="13">
        <v>1014</v>
      </c>
      <c r="C16" s="14" t="s">
        <v>73</v>
      </c>
      <c r="D16" s="14" t="s">
        <v>55</v>
      </c>
      <c r="E16" s="14" t="s">
        <v>56</v>
      </c>
      <c r="F16" s="13">
        <v>28</v>
      </c>
      <c r="G16" s="13">
        <v>10</v>
      </c>
      <c r="H16" s="15">
        <v>45314</v>
      </c>
      <c r="I16">
        <f t="shared" si="0"/>
        <v>280</v>
      </c>
    </row>
    <row r="17" spans="2:9" ht="28.5" thickBot="1" x14ac:dyDescent="0.25">
      <c r="B17" s="13">
        <v>1015</v>
      </c>
      <c r="C17" s="14" t="s">
        <v>74</v>
      </c>
      <c r="D17" s="14" t="s">
        <v>58</v>
      </c>
      <c r="E17" s="14" t="s">
        <v>59</v>
      </c>
      <c r="F17" s="13">
        <v>12</v>
      </c>
      <c r="G17" s="13">
        <v>25</v>
      </c>
      <c r="H17" s="15">
        <v>45315</v>
      </c>
      <c r="I17">
        <f t="shared" si="0"/>
        <v>300</v>
      </c>
    </row>
    <row r="18" spans="2:9" ht="28.5" thickBot="1" x14ac:dyDescent="0.25">
      <c r="B18" s="13">
        <v>1016</v>
      </c>
      <c r="C18" s="14" t="s">
        <v>75</v>
      </c>
      <c r="D18" s="14" t="s">
        <v>61</v>
      </c>
      <c r="E18" s="14" t="s">
        <v>63</v>
      </c>
      <c r="F18" s="13">
        <v>25</v>
      </c>
      <c r="G18" s="13">
        <v>5</v>
      </c>
      <c r="H18" s="15">
        <v>45317</v>
      </c>
      <c r="I18">
        <f t="shared" si="0"/>
        <v>125</v>
      </c>
    </row>
    <row r="19" spans="2:9" ht="28.5" thickBot="1" x14ac:dyDescent="0.25">
      <c r="B19" s="13">
        <v>1017</v>
      </c>
      <c r="C19" s="14" t="s">
        <v>76</v>
      </c>
      <c r="D19" s="14" t="s">
        <v>52</v>
      </c>
      <c r="E19" s="14" t="s">
        <v>66</v>
      </c>
      <c r="F19" s="13">
        <v>20</v>
      </c>
      <c r="G19" s="13">
        <v>8</v>
      </c>
      <c r="H19" s="15">
        <v>45319</v>
      </c>
      <c r="I19">
        <f t="shared" si="0"/>
        <v>160</v>
      </c>
    </row>
    <row r="20" spans="2:9" ht="28.5" thickBot="1" x14ac:dyDescent="0.25">
      <c r="B20" s="13">
        <v>1018</v>
      </c>
      <c r="C20" s="14" t="s">
        <v>77</v>
      </c>
      <c r="D20" s="14" t="s">
        <v>55</v>
      </c>
      <c r="E20" s="14" t="s">
        <v>53</v>
      </c>
      <c r="F20" s="13">
        <v>10</v>
      </c>
      <c r="G20" s="13">
        <v>50</v>
      </c>
      <c r="H20" s="15">
        <v>45320</v>
      </c>
      <c r="I20">
        <f t="shared" si="0"/>
        <v>500</v>
      </c>
    </row>
    <row r="21" spans="2:9" ht="28.5" thickBot="1" x14ac:dyDescent="0.25">
      <c r="B21" s="13">
        <v>1019</v>
      </c>
      <c r="C21" s="14" t="s">
        <v>78</v>
      </c>
      <c r="D21" s="14" t="s">
        <v>58</v>
      </c>
      <c r="E21" s="14" t="s">
        <v>56</v>
      </c>
      <c r="F21" s="13">
        <v>15</v>
      </c>
      <c r="G21" s="13">
        <v>10</v>
      </c>
      <c r="H21" s="15">
        <v>45321</v>
      </c>
      <c r="I21">
        <f t="shared" si="0"/>
        <v>150</v>
      </c>
    </row>
    <row r="22" spans="2:9" ht="28.5" thickBot="1" x14ac:dyDescent="0.25">
      <c r="B22" s="13">
        <v>1020</v>
      </c>
      <c r="C22" s="14" t="s">
        <v>79</v>
      </c>
      <c r="D22" s="14" t="s">
        <v>61</v>
      </c>
      <c r="E22" s="14" t="s">
        <v>59</v>
      </c>
      <c r="F22" s="13">
        <v>18</v>
      </c>
      <c r="G22" s="13">
        <v>25</v>
      </c>
      <c r="H22" s="15">
        <v>45323</v>
      </c>
      <c r="I22">
        <f t="shared" si="0"/>
        <v>450</v>
      </c>
    </row>
    <row r="23" spans="2:9" ht="28.5" thickBot="1" x14ac:dyDescent="0.25">
      <c r="B23" s="13">
        <v>1021</v>
      </c>
      <c r="C23" s="14" t="s">
        <v>80</v>
      </c>
      <c r="D23" s="14" t="s">
        <v>52</v>
      </c>
      <c r="E23" s="14" t="s">
        <v>53</v>
      </c>
      <c r="F23" s="13">
        <v>9</v>
      </c>
      <c r="G23" s="13">
        <v>50</v>
      </c>
      <c r="H23" s="15">
        <v>45324</v>
      </c>
      <c r="I23">
        <f t="shared" si="0"/>
        <v>450</v>
      </c>
    </row>
    <row r="24" spans="2:9" ht="28.5" thickBot="1" x14ac:dyDescent="0.25">
      <c r="B24" s="13">
        <v>1022</v>
      </c>
      <c r="C24" s="14" t="s">
        <v>81</v>
      </c>
      <c r="D24" s="14" t="s">
        <v>55</v>
      </c>
      <c r="E24" s="14" t="s">
        <v>63</v>
      </c>
      <c r="F24" s="13">
        <v>35</v>
      </c>
      <c r="G24" s="13">
        <v>5</v>
      </c>
      <c r="H24" s="15">
        <v>45325</v>
      </c>
      <c r="I24">
        <f t="shared" si="0"/>
        <v>175</v>
      </c>
    </row>
    <row r="25" spans="2:9" ht="28.5" thickBot="1" x14ac:dyDescent="0.25">
      <c r="B25" s="13">
        <v>1023</v>
      </c>
      <c r="C25" s="14" t="s">
        <v>82</v>
      </c>
      <c r="D25" s="14" t="s">
        <v>58</v>
      </c>
      <c r="E25" s="14" t="s">
        <v>66</v>
      </c>
      <c r="F25" s="13">
        <v>30</v>
      </c>
      <c r="G25" s="13">
        <v>8</v>
      </c>
      <c r="H25" s="15">
        <v>45326</v>
      </c>
      <c r="I25">
        <f t="shared" si="0"/>
        <v>240</v>
      </c>
    </row>
    <row r="26" spans="2:9" ht="28.5" thickBot="1" x14ac:dyDescent="0.25">
      <c r="B26" s="13">
        <v>1024</v>
      </c>
      <c r="C26" s="14" t="s">
        <v>83</v>
      </c>
      <c r="D26" s="14" t="s">
        <v>61</v>
      </c>
      <c r="E26" s="14" t="s">
        <v>53</v>
      </c>
      <c r="F26" s="13">
        <v>11</v>
      </c>
      <c r="G26" s="13">
        <v>50</v>
      </c>
      <c r="H26" s="15">
        <v>45328</v>
      </c>
      <c r="I26">
        <f t="shared" si="0"/>
        <v>550</v>
      </c>
    </row>
    <row r="27" spans="2:9" ht="28.5" thickBot="1" x14ac:dyDescent="0.25">
      <c r="B27" s="13">
        <v>1025</v>
      </c>
      <c r="C27" s="14" t="s">
        <v>84</v>
      </c>
      <c r="D27" s="14" t="s">
        <v>52</v>
      </c>
      <c r="E27" s="14" t="s">
        <v>56</v>
      </c>
      <c r="F27" s="13">
        <v>14</v>
      </c>
      <c r="G27" s="13">
        <v>10</v>
      </c>
      <c r="H27" s="15">
        <v>45329</v>
      </c>
      <c r="I27">
        <f t="shared" si="0"/>
        <v>140</v>
      </c>
    </row>
    <row r="28" spans="2:9" ht="28.5" thickBot="1" x14ac:dyDescent="0.25">
      <c r="B28" s="13">
        <v>1026</v>
      </c>
      <c r="C28" s="14" t="s">
        <v>85</v>
      </c>
      <c r="D28" s="14" t="s">
        <v>55</v>
      </c>
      <c r="E28" s="14" t="s">
        <v>59</v>
      </c>
      <c r="F28" s="13">
        <v>16</v>
      </c>
      <c r="G28" s="13">
        <v>25</v>
      </c>
      <c r="H28" s="15">
        <v>45330</v>
      </c>
      <c r="I28">
        <f t="shared" si="0"/>
        <v>400</v>
      </c>
    </row>
    <row r="29" spans="2:9" ht="28.5" thickBot="1" x14ac:dyDescent="0.25">
      <c r="B29" s="13">
        <v>1027</v>
      </c>
      <c r="C29" s="14" t="s">
        <v>86</v>
      </c>
      <c r="D29" s="14" t="s">
        <v>58</v>
      </c>
      <c r="E29" s="14" t="s">
        <v>63</v>
      </c>
      <c r="F29" s="13">
        <v>22</v>
      </c>
      <c r="G29" s="13">
        <v>5</v>
      </c>
      <c r="H29" s="15">
        <v>45331</v>
      </c>
      <c r="I29">
        <f t="shared" si="0"/>
        <v>110</v>
      </c>
    </row>
    <row r="30" spans="2:9" ht="28.5" thickBot="1" x14ac:dyDescent="0.25">
      <c r="B30" s="13">
        <v>1028</v>
      </c>
      <c r="C30" s="14" t="s">
        <v>87</v>
      </c>
      <c r="D30" s="14" t="s">
        <v>61</v>
      </c>
      <c r="E30" s="14" t="s">
        <v>66</v>
      </c>
      <c r="F30" s="13">
        <v>27</v>
      </c>
      <c r="G30" s="13">
        <v>8</v>
      </c>
      <c r="H30" s="15">
        <v>45332</v>
      </c>
      <c r="I30">
        <f t="shared" si="0"/>
        <v>216</v>
      </c>
    </row>
    <row r="31" spans="2:9" ht="28.5" thickBot="1" x14ac:dyDescent="0.25">
      <c r="B31" s="13">
        <v>1029</v>
      </c>
      <c r="C31" s="14" t="s">
        <v>88</v>
      </c>
      <c r="D31" s="14" t="s">
        <v>52</v>
      </c>
      <c r="E31" s="14" t="s">
        <v>53</v>
      </c>
      <c r="F31" s="13">
        <v>13</v>
      </c>
      <c r="G31" s="13">
        <v>50</v>
      </c>
      <c r="H31" s="15">
        <v>45334</v>
      </c>
      <c r="I31">
        <f t="shared" si="0"/>
        <v>650</v>
      </c>
    </row>
    <row r="32" spans="2:9" ht="28.5" thickBot="1" x14ac:dyDescent="0.25">
      <c r="B32" s="13">
        <v>1030</v>
      </c>
      <c r="C32" s="14" t="s">
        <v>89</v>
      </c>
      <c r="D32" s="14" t="s">
        <v>55</v>
      </c>
      <c r="E32" s="14" t="s">
        <v>56</v>
      </c>
      <c r="F32" s="13">
        <v>32</v>
      </c>
      <c r="G32" s="13">
        <v>10</v>
      </c>
      <c r="H32" s="15">
        <v>45335</v>
      </c>
      <c r="I32">
        <f t="shared" si="0"/>
        <v>320</v>
      </c>
    </row>
    <row r="33" spans="2:9" ht="28.5" thickBot="1" x14ac:dyDescent="0.25">
      <c r="B33" s="13">
        <v>1031</v>
      </c>
      <c r="C33" s="14" t="s">
        <v>90</v>
      </c>
      <c r="D33" s="14" t="s">
        <v>58</v>
      </c>
      <c r="E33" s="14" t="s">
        <v>59</v>
      </c>
      <c r="F33" s="13">
        <v>10</v>
      </c>
      <c r="G33" s="13">
        <v>25</v>
      </c>
      <c r="H33" s="15">
        <v>45336</v>
      </c>
      <c r="I33">
        <f t="shared" si="0"/>
        <v>250</v>
      </c>
    </row>
    <row r="34" spans="2:9" ht="15.75" thickBot="1" x14ac:dyDescent="0.25">
      <c r="B34" s="13">
        <v>1032</v>
      </c>
      <c r="C34" s="14" t="s">
        <v>91</v>
      </c>
      <c r="D34" s="14" t="s">
        <v>61</v>
      </c>
      <c r="E34" s="14" t="s">
        <v>63</v>
      </c>
      <c r="F34" s="13">
        <v>18</v>
      </c>
      <c r="G34" s="13">
        <v>5</v>
      </c>
      <c r="H34" s="15">
        <v>45338</v>
      </c>
      <c r="I34">
        <f t="shared" si="0"/>
        <v>90</v>
      </c>
    </row>
    <row r="35" spans="2:9" ht="28.5" thickBot="1" x14ac:dyDescent="0.25">
      <c r="B35" s="13">
        <v>1033</v>
      </c>
      <c r="C35" s="14" t="s">
        <v>92</v>
      </c>
      <c r="D35" s="14" t="s">
        <v>52</v>
      </c>
      <c r="E35" s="14" t="s">
        <v>66</v>
      </c>
      <c r="F35" s="13">
        <v>22</v>
      </c>
      <c r="G35" s="13">
        <v>8</v>
      </c>
      <c r="H35" s="15">
        <v>45339</v>
      </c>
      <c r="I35">
        <f t="shared" si="0"/>
        <v>176</v>
      </c>
    </row>
    <row r="36" spans="2:9" ht="28.5" thickBot="1" x14ac:dyDescent="0.25">
      <c r="B36" s="13">
        <v>1034</v>
      </c>
      <c r="C36" s="14" t="s">
        <v>93</v>
      </c>
      <c r="D36" s="14" t="s">
        <v>55</v>
      </c>
      <c r="E36" s="14" t="s">
        <v>53</v>
      </c>
      <c r="F36" s="13">
        <v>17</v>
      </c>
      <c r="G36" s="13">
        <v>50</v>
      </c>
      <c r="H36" s="15">
        <v>45340</v>
      </c>
      <c r="I36">
        <f t="shared" si="0"/>
        <v>850</v>
      </c>
    </row>
    <row r="37" spans="2:9" ht="15.75" thickBot="1" x14ac:dyDescent="0.25">
      <c r="B37" s="13">
        <v>1035</v>
      </c>
      <c r="C37" s="14" t="s">
        <v>94</v>
      </c>
      <c r="D37" s="14" t="s">
        <v>58</v>
      </c>
      <c r="E37" s="14" t="s">
        <v>56</v>
      </c>
      <c r="F37" s="13">
        <v>19</v>
      </c>
      <c r="G37" s="13">
        <v>10</v>
      </c>
      <c r="H37" s="15">
        <v>45341</v>
      </c>
      <c r="I37">
        <f t="shared" si="0"/>
        <v>190</v>
      </c>
    </row>
    <row r="38" spans="2:9" ht="28.5" thickBot="1" x14ac:dyDescent="0.25">
      <c r="B38" s="13">
        <v>1036</v>
      </c>
      <c r="C38" s="14" t="s">
        <v>95</v>
      </c>
      <c r="D38" s="14" t="s">
        <v>61</v>
      </c>
      <c r="E38" s="14" t="s">
        <v>59</v>
      </c>
      <c r="F38" s="13">
        <v>15</v>
      </c>
      <c r="G38" s="13">
        <v>25</v>
      </c>
      <c r="H38" s="15">
        <v>45343</v>
      </c>
      <c r="I38">
        <f t="shared" si="0"/>
        <v>375</v>
      </c>
    </row>
    <row r="39" spans="2:9" ht="15.75" thickBot="1" x14ac:dyDescent="0.25">
      <c r="B39" s="13">
        <v>1037</v>
      </c>
      <c r="C39" s="14" t="s">
        <v>96</v>
      </c>
      <c r="D39" s="14" t="s">
        <v>52</v>
      </c>
      <c r="E39" s="14" t="s">
        <v>63</v>
      </c>
      <c r="F39" s="13">
        <v>28</v>
      </c>
      <c r="G39" s="13">
        <v>5</v>
      </c>
      <c r="H39" s="15">
        <v>45344</v>
      </c>
      <c r="I39">
        <f t="shared" si="0"/>
        <v>140</v>
      </c>
    </row>
    <row r="40" spans="2:9" ht="28.5" thickBot="1" x14ac:dyDescent="0.25">
      <c r="B40" s="13">
        <v>1038</v>
      </c>
      <c r="C40" s="14" t="s">
        <v>97</v>
      </c>
      <c r="D40" s="14" t="s">
        <v>55</v>
      </c>
      <c r="E40" s="14" t="s">
        <v>66</v>
      </c>
      <c r="F40" s="13">
        <v>24</v>
      </c>
      <c r="G40" s="13">
        <v>8</v>
      </c>
      <c r="H40" s="15">
        <v>45345</v>
      </c>
      <c r="I40">
        <f t="shared" si="0"/>
        <v>192</v>
      </c>
    </row>
    <row r="41" spans="2:9" ht="28.5" thickBot="1" x14ac:dyDescent="0.25">
      <c r="B41" s="13">
        <v>1039</v>
      </c>
      <c r="C41" s="14" t="s">
        <v>98</v>
      </c>
      <c r="D41" s="14" t="s">
        <v>58</v>
      </c>
      <c r="E41" s="14" t="s">
        <v>53</v>
      </c>
      <c r="F41" s="13">
        <v>16</v>
      </c>
      <c r="G41" s="13">
        <v>50</v>
      </c>
      <c r="H41" s="15">
        <v>45347</v>
      </c>
      <c r="I41">
        <f t="shared" si="0"/>
        <v>800</v>
      </c>
    </row>
    <row r="42" spans="2:9" ht="28.5" thickBot="1" x14ac:dyDescent="0.25">
      <c r="B42" s="13">
        <v>1040</v>
      </c>
      <c r="C42" s="14" t="s">
        <v>99</v>
      </c>
      <c r="D42" s="14" t="s">
        <v>61</v>
      </c>
      <c r="E42" s="14" t="s">
        <v>56</v>
      </c>
      <c r="F42" s="13">
        <v>27</v>
      </c>
      <c r="G42" s="13">
        <v>10</v>
      </c>
      <c r="H42" s="15">
        <v>45348</v>
      </c>
      <c r="I42">
        <f t="shared" si="0"/>
        <v>270</v>
      </c>
    </row>
    <row r="43" spans="2:9" ht="28.5" thickBot="1" x14ac:dyDescent="0.25">
      <c r="B43" s="13">
        <v>1041</v>
      </c>
      <c r="C43" s="14" t="s">
        <v>100</v>
      </c>
      <c r="D43" s="14" t="s">
        <v>52</v>
      </c>
      <c r="E43" s="14" t="s">
        <v>59</v>
      </c>
      <c r="F43" s="13">
        <v>21</v>
      </c>
      <c r="G43" s="13">
        <v>25</v>
      </c>
      <c r="H43" s="15">
        <v>45349</v>
      </c>
      <c r="I43">
        <f t="shared" si="0"/>
        <v>525</v>
      </c>
    </row>
    <row r="44" spans="2:9" ht="28.5" thickBot="1" x14ac:dyDescent="0.25">
      <c r="B44" s="13">
        <v>1042</v>
      </c>
      <c r="C44" s="14" t="s">
        <v>101</v>
      </c>
      <c r="D44" s="14" t="s">
        <v>55</v>
      </c>
      <c r="E44" s="14" t="s">
        <v>63</v>
      </c>
      <c r="F44" s="13">
        <v>30</v>
      </c>
      <c r="G44" s="13">
        <v>5</v>
      </c>
      <c r="H44" s="15">
        <v>45350</v>
      </c>
      <c r="I44">
        <f t="shared" si="0"/>
        <v>150</v>
      </c>
    </row>
    <row r="45" spans="2:9" ht="28.5" thickBot="1" x14ac:dyDescent="0.25">
      <c r="B45" s="13">
        <v>1043</v>
      </c>
      <c r="C45" s="14" t="s">
        <v>102</v>
      </c>
      <c r="D45" s="14" t="s">
        <v>58</v>
      </c>
      <c r="E45" s="14" t="s">
        <v>66</v>
      </c>
      <c r="F45" s="13">
        <v>26</v>
      </c>
      <c r="G45" s="13">
        <v>8</v>
      </c>
      <c r="H45" s="15">
        <v>45352</v>
      </c>
      <c r="I45">
        <f t="shared" si="0"/>
        <v>208</v>
      </c>
    </row>
    <row r="46" spans="2:9" ht="28.5" thickBot="1" x14ac:dyDescent="0.25">
      <c r="B46" s="13">
        <v>1044</v>
      </c>
      <c r="C46" s="14" t="s">
        <v>103</v>
      </c>
      <c r="D46" s="14" t="s">
        <v>61</v>
      </c>
      <c r="E46" s="14" t="s">
        <v>53</v>
      </c>
      <c r="F46" s="13">
        <v>14</v>
      </c>
      <c r="G46" s="13">
        <v>50</v>
      </c>
      <c r="H46" s="15">
        <v>45353</v>
      </c>
      <c r="I46">
        <f t="shared" si="0"/>
        <v>700</v>
      </c>
    </row>
    <row r="47" spans="2:9" ht="28.5" thickBot="1" x14ac:dyDescent="0.25">
      <c r="B47" s="13">
        <v>1045</v>
      </c>
      <c r="C47" s="14" t="s">
        <v>104</v>
      </c>
      <c r="D47" s="14" t="s">
        <v>52</v>
      </c>
      <c r="E47" s="14" t="s">
        <v>56</v>
      </c>
      <c r="F47" s="13">
        <v>20</v>
      </c>
      <c r="G47" s="13">
        <v>10</v>
      </c>
      <c r="H47" s="15">
        <v>45354</v>
      </c>
      <c r="I47">
        <f t="shared" si="0"/>
        <v>200</v>
      </c>
    </row>
    <row r="48" spans="2:9" ht="28.5" thickBot="1" x14ac:dyDescent="0.25">
      <c r="B48" s="13">
        <v>1046</v>
      </c>
      <c r="C48" s="14" t="s">
        <v>105</v>
      </c>
      <c r="D48" s="14" t="s">
        <v>55</v>
      </c>
      <c r="E48" s="14" t="s">
        <v>59</v>
      </c>
      <c r="F48" s="13">
        <v>17</v>
      </c>
      <c r="G48" s="13">
        <v>25</v>
      </c>
      <c r="H48" s="15">
        <v>45355</v>
      </c>
      <c r="I48">
        <f t="shared" si="0"/>
        <v>425</v>
      </c>
    </row>
    <row r="49" spans="2:9" ht="28.5" thickBot="1" x14ac:dyDescent="0.25">
      <c r="B49" s="13">
        <v>1047</v>
      </c>
      <c r="C49" s="14" t="s">
        <v>106</v>
      </c>
      <c r="D49" s="14" t="s">
        <v>58</v>
      </c>
      <c r="E49" s="14" t="s">
        <v>63</v>
      </c>
      <c r="F49" s="13">
        <v>19</v>
      </c>
      <c r="G49" s="13">
        <v>5</v>
      </c>
      <c r="H49" s="15">
        <v>45356</v>
      </c>
      <c r="I49">
        <f t="shared" si="0"/>
        <v>95</v>
      </c>
    </row>
    <row r="50" spans="2:9" ht="28.5" thickBot="1" x14ac:dyDescent="0.25">
      <c r="B50" s="13">
        <v>1048</v>
      </c>
      <c r="C50" s="14" t="s">
        <v>107</v>
      </c>
      <c r="D50" s="14" t="s">
        <v>61</v>
      </c>
      <c r="E50" s="14" t="s">
        <v>66</v>
      </c>
      <c r="F50" s="13">
        <v>32</v>
      </c>
      <c r="G50" s="13">
        <v>8</v>
      </c>
      <c r="H50" s="15">
        <v>45357</v>
      </c>
      <c r="I50">
        <f t="shared" si="0"/>
        <v>256</v>
      </c>
    </row>
    <row r="51" spans="2:9" ht="15.75" thickBot="1" x14ac:dyDescent="0.25">
      <c r="B51" s="13">
        <v>1049</v>
      </c>
      <c r="C51" s="14" t="s">
        <v>108</v>
      </c>
      <c r="D51" s="14" t="s">
        <v>52</v>
      </c>
      <c r="E51" s="14" t="s">
        <v>53</v>
      </c>
      <c r="F51" s="13">
        <v>12</v>
      </c>
      <c r="G51" s="13">
        <v>50</v>
      </c>
      <c r="H51" s="15">
        <v>45358</v>
      </c>
      <c r="I51">
        <f t="shared" si="0"/>
        <v>600</v>
      </c>
    </row>
    <row r="52" spans="2:9" ht="28.5" thickBot="1" x14ac:dyDescent="0.25">
      <c r="B52" s="13">
        <v>1050</v>
      </c>
      <c r="C52" s="14" t="s">
        <v>109</v>
      </c>
      <c r="D52" s="14" t="s">
        <v>55</v>
      </c>
      <c r="E52" s="14" t="s">
        <v>56</v>
      </c>
      <c r="F52" s="13">
        <v>25</v>
      </c>
      <c r="G52" s="13">
        <v>10</v>
      </c>
      <c r="H52" s="15">
        <v>45359</v>
      </c>
      <c r="I52">
        <f t="shared" si="0"/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96F5-ED59-4A72-9F22-DA170A8E50B0}">
  <dimension ref="B2:G8"/>
  <sheetViews>
    <sheetView topLeftCell="E1" workbookViewId="0">
      <selection activeCell="P10" sqref="P10"/>
    </sheetView>
  </sheetViews>
  <sheetFormatPr defaultRowHeight="15" x14ac:dyDescent="0.2"/>
  <cols>
    <col min="2" max="2" width="12.5078125" bestFit="1" customWidth="1"/>
    <col min="3" max="3" width="16.41015625" bestFit="1" customWidth="1"/>
    <col min="5" max="5" width="11.1640625" customWidth="1"/>
    <col min="8" max="8" width="11.43359375" customWidth="1"/>
    <col min="9" max="9" width="10.4921875" customWidth="1"/>
  </cols>
  <sheetData>
    <row r="2" spans="2:7" ht="18.75" x14ac:dyDescent="0.25">
      <c r="B2" s="22" t="s">
        <v>123</v>
      </c>
      <c r="C2" t="s">
        <v>125</v>
      </c>
      <c r="F2" s="17" t="s">
        <v>115</v>
      </c>
      <c r="G2" s="3" t="s">
        <v>120</v>
      </c>
    </row>
    <row r="3" spans="2:7" x14ac:dyDescent="0.2">
      <c r="B3" s="23" t="s">
        <v>66</v>
      </c>
      <c r="C3">
        <v>1928</v>
      </c>
      <c r="F3" s="4" t="s">
        <v>121</v>
      </c>
    </row>
    <row r="4" spans="2:7" x14ac:dyDescent="0.2">
      <c r="B4" s="23" t="s">
        <v>59</v>
      </c>
      <c r="C4">
        <v>3650</v>
      </c>
    </row>
    <row r="5" spans="2:7" x14ac:dyDescent="0.2">
      <c r="B5" s="23" t="s">
        <v>53</v>
      </c>
      <c r="C5">
        <v>7550</v>
      </c>
    </row>
    <row r="6" spans="2:7" x14ac:dyDescent="0.2">
      <c r="B6" s="23" t="s">
        <v>56</v>
      </c>
      <c r="C6">
        <v>2180</v>
      </c>
    </row>
    <row r="7" spans="2:7" x14ac:dyDescent="0.2">
      <c r="B7" s="23" t="s">
        <v>63</v>
      </c>
      <c r="C7">
        <v>1235</v>
      </c>
    </row>
    <row r="8" spans="2:7" x14ac:dyDescent="0.2">
      <c r="B8" s="23" t="s">
        <v>124</v>
      </c>
      <c r="C8">
        <v>16543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FB96D-21A8-495B-8466-5DF05DA09673}">
  <dimension ref="B1:F52"/>
  <sheetViews>
    <sheetView topLeftCell="E1" workbookViewId="0">
      <selection activeCell="E19" sqref="E19"/>
    </sheetView>
  </sheetViews>
  <sheetFormatPr defaultRowHeight="15" x14ac:dyDescent="0.2"/>
  <cols>
    <col min="2" max="2" width="12.5078125" customWidth="1"/>
    <col min="3" max="3" width="16.41015625" bestFit="1" customWidth="1"/>
    <col min="5" max="5" width="11.296875" customWidth="1"/>
    <col min="8" max="8" width="11.97265625" customWidth="1"/>
  </cols>
  <sheetData>
    <row r="1" spans="2:6" ht="15.75" thickBot="1" x14ac:dyDescent="0.25"/>
    <row r="2" spans="2:6" ht="19.5" thickBot="1" x14ac:dyDescent="0.3">
      <c r="B2" s="20" t="s">
        <v>50</v>
      </c>
      <c r="C2" s="21" t="s">
        <v>119</v>
      </c>
      <c r="E2" s="17" t="s">
        <v>126</v>
      </c>
      <c r="F2" s="3" t="s">
        <v>122</v>
      </c>
    </row>
    <row r="3" spans="2:6" ht="15.75" thickBot="1" x14ac:dyDescent="0.25">
      <c r="B3" s="15">
        <v>45296</v>
      </c>
      <c r="C3">
        <f>'Question-6'!$F3*'Question-6'!$G3</f>
        <v>500</v>
      </c>
      <c r="E3" s="24" t="s">
        <v>121</v>
      </c>
    </row>
    <row r="4" spans="2:6" ht="15.75" thickBot="1" x14ac:dyDescent="0.25">
      <c r="B4" s="15">
        <v>45297</v>
      </c>
      <c r="C4">
        <f>'Question-6'!$F4*'Question-6'!$G4</f>
        <v>200</v>
      </c>
    </row>
    <row r="5" spans="2:6" ht="15.75" thickBot="1" x14ac:dyDescent="0.25">
      <c r="B5" s="15">
        <v>45298</v>
      </c>
      <c r="C5">
        <f>'Question-6'!$F5*'Question-6'!$G5</f>
        <v>375</v>
      </c>
    </row>
    <row r="6" spans="2:6" ht="15.75" thickBot="1" x14ac:dyDescent="0.25">
      <c r="B6" s="15">
        <v>45299</v>
      </c>
      <c r="C6">
        <f>'Question-6'!$F6*'Question-6'!$G6</f>
        <v>250</v>
      </c>
    </row>
    <row r="7" spans="2:6" ht="15.75" thickBot="1" x14ac:dyDescent="0.25">
      <c r="B7" s="15">
        <v>45301</v>
      </c>
      <c r="C7">
        <f>'Question-6'!$F7*'Question-6'!$G7</f>
        <v>150</v>
      </c>
    </row>
    <row r="8" spans="2:6" ht="15.75" thickBot="1" x14ac:dyDescent="0.25">
      <c r="B8" s="15">
        <v>45302</v>
      </c>
      <c r="C8">
        <f>'Question-6'!$F8*'Question-6'!$G8</f>
        <v>600</v>
      </c>
    </row>
    <row r="9" spans="2:6" ht="15.75" thickBot="1" x14ac:dyDescent="0.25">
      <c r="B9" s="15">
        <v>45304</v>
      </c>
      <c r="C9">
        <f>'Question-6'!$F9*'Question-6'!$G9</f>
        <v>200</v>
      </c>
    </row>
    <row r="10" spans="2:6" ht="15.75" thickBot="1" x14ac:dyDescent="0.25">
      <c r="B10" s="15">
        <v>45306</v>
      </c>
      <c r="C10">
        <f>'Question-6'!$F10*'Question-6'!$G10</f>
        <v>180</v>
      </c>
    </row>
    <row r="11" spans="2:6" ht="15.75" thickBot="1" x14ac:dyDescent="0.25">
      <c r="B11" s="15">
        <v>45308</v>
      </c>
      <c r="C11">
        <f>'Question-6'!$F11*'Question-6'!$G11</f>
        <v>550</v>
      </c>
    </row>
    <row r="12" spans="2:6" ht="15.75" thickBot="1" x14ac:dyDescent="0.25">
      <c r="B12" s="15">
        <v>45309</v>
      </c>
      <c r="C12">
        <f>'Question-6'!$F12*'Question-6'!$G12</f>
        <v>400</v>
      </c>
    </row>
    <row r="13" spans="2:6" ht="15.75" thickBot="1" x14ac:dyDescent="0.25">
      <c r="B13" s="15">
        <v>45310</v>
      </c>
      <c r="C13">
        <f>'Question-6'!$F13*'Question-6'!$G13</f>
        <v>200</v>
      </c>
    </row>
    <row r="14" spans="2:6" ht="15.75" thickBot="1" x14ac:dyDescent="0.25">
      <c r="B14" s="15">
        <v>45311</v>
      </c>
      <c r="C14">
        <f>'Question-6'!$F14*'Question-6'!$G14</f>
        <v>280</v>
      </c>
    </row>
    <row r="15" spans="2:6" ht="15.75" thickBot="1" x14ac:dyDescent="0.25">
      <c r="B15" s="15">
        <v>45313</v>
      </c>
      <c r="C15">
        <f>'Question-6'!$F15*'Question-6'!$G15</f>
        <v>700</v>
      </c>
    </row>
    <row r="16" spans="2:6" ht="15.75" thickBot="1" x14ac:dyDescent="0.25">
      <c r="B16" s="15">
        <v>45314</v>
      </c>
      <c r="C16">
        <f>'Question-6'!$F16*'Question-6'!$G16</f>
        <v>280</v>
      </c>
    </row>
    <row r="17" spans="2:3" ht="15.75" thickBot="1" x14ac:dyDescent="0.25">
      <c r="B17" s="15">
        <v>45315</v>
      </c>
      <c r="C17">
        <f>'Question-6'!$F17*'Question-6'!$G17</f>
        <v>300</v>
      </c>
    </row>
    <row r="18" spans="2:3" ht="15.75" thickBot="1" x14ac:dyDescent="0.25">
      <c r="B18" s="15">
        <v>45317</v>
      </c>
      <c r="C18">
        <f>'Question-6'!$F18*'Question-6'!$G18</f>
        <v>125</v>
      </c>
    </row>
    <row r="19" spans="2:3" ht="15.75" thickBot="1" x14ac:dyDescent="0.25">
      <c r="B19" s="15">
        <v>45319</v>
      </c>
      <c r="C19">
        <f>'Question-6'!$F19*'Question-6'!$G19</f>
        <v>160</v>
      </c>
    </row>
    <row r="20" spans="2:3" ht="15.75" thickBot="1" x14ac:dyDescent="0.25">
      <c r="B20" s="15">
        <v>45320</v>
      </c>
      <c r="C20">
        <f>'Question-6'!$F20*'Question-6'!$G20</f>
        <v>500</v>
      </c>
    </row>
    <row r="21" spans="2:3" ht="15.75" thickBot="1" x14ac:dyDescent="0.25">
      <c r="B21" s="15">
        <v>45321</v>
      </c>
      <c r="C21">
        <f>'Question-6'!$F21*'Question-6'!$G21</f>
        <v>150</v>
      </c>
    </row>
    <row r="22" spans="2:3" ht="15.75" thickBot="1" x14ac:dyDescent="0.25">
      <c r="B22" s="15">
        <v>45323</v>
      </c>
      <c r="C22">
        <f>'Question-6'!$F22*'Question-6'!$G22</f>
        <v>450</v>
      </c>
    </row>
    <row r="23" spans="2:3" ht="15.75" thickBot="1" x14ac:dyDescent="0.25">
      <c r="B23" s="15">
        <v>45324</v>
      </c>
      <c r="C23">
        <f>'Question-6'!$F23*'Question-6'!$G23</f>
        <v>450</v>
      </c>
    </row>
    <row r="24" spans="2:3" ht="15.75" thickBot="1" x14ac:dyDescent="0.25">
      <c r="B24" s="15">
        <v>45325</v>
      </c>
      <c r="C24">
        <f>'Question-6'!$F24*'Question-6'!$G24</f>
        <v>175</v>
      </c>
    </row>
    <row r="25" spans="2:3" ht="15.75" thickBot="1" x14ac:dyDescent="0.25">
      <c r="B25" s="15">
        <v>45326</v>
      </c>
      <c r="C25">
        <f>'Question-6'!$F25*'Question-6'!$G25</f>
        <v>240</v>
      </c>
    </row>
    <row r="26" spans="2:3" ht="15.75" thickBot="1" x14ac:dyDescent="0.25">
      <c r="B26" s="15">
        <v>45328</v>
      </c>
      <c r="C26">
        <f>'Question-6'!$F26*'Question-6'!$G26</f>
        <v>550</v>
      </c>
    </row>
    <row r="27" spans="2:3" ht="15.75" thickBot="1" x14ac:dyDescent="0.25">
      <c r="B27" s="15">
        <v>45329</v>
      </c>
      <c r="C27">
        <f>'Question-6'!$F27*'Question-6'!$G27</f>
        <v>140</v>
      </c>
    </row>
    <row r="28" spans="2:3" ht="15.75" thickBot="1" x14ac:dyDescent="0.25">
      <c r="B28" s="15">
        <v>45330</v>
      </c>
      <c r="C28">
        <f>'Question-6'!$F28*'Question-6'!$G28</f>
        <v>400</v>
      </c>
    </row>
    <row r="29" spans="2:3" ht="15.75" thickBot="1" x14ac:dyDescent="0.25">
      <c r="B29" s="15">
        <v>45331</v>
      </c>
      <c r="C29">
        <f>'Question-6'!$F29*'Question-6'!$G29</f>
        <v>110</v>
      </c>
    </row>
    <row r="30" spans="2:3" ht="15.75" thickBot="1" x14ac:dyDescent="0.25">
      <c r="B30" s="15">
        <v>45332</v>
      </c>
      <c r="C30">
        <f>'Question-6'!$F30*'Question-6'!$G30</f>
        <v>216</v>
      </c>
    </row>
    <row r="31" spans="2:3" ht="15.75" thickBot="1" x14ac:dyDescent="0.25">
      <c r="B31" s="15">
        <v>45334</v>
      </c>
      <c r="C31">
        <f>'Question-6'!$F31*'Question-6'!$G31</f>
        <v>650</v>
      </c>
    </row>
    <row r="32" spans="2:3" ht="15.75" thickBot="1" x14ac:dyDescent="0.25">
      <c r="B32" s="15">
        <v>45335</v>
      </c>
      <c r="C32">
        <f>'Question-6'!$F32*'Question-6'!$G32</f>
        <v>320</v>
      </c>
    </row>
    <row r="33" spans="2:3" ht="15.75" thickBot="1" x14ac:dyDescent="0.25">
      <c r="B33" s="15">
        <v>45336</v>
      </c>
      <c r="C33">
        <f>'Question-6'!$F33*'Question-6'!$G33</f>
        <v>250</v>
      </c>
    </row>
    <row r="34" spans="2:3" ht="15.75" thickBot="1" x14ac:dyDescent="0.25">
      <c r="B34" s="15">
        <v>45338</v>
      </c>
      <c r="C34">
        <f>'Question-6'!$F34*'Question-6'!$G34</f>
        <v>90</v>
      </c>
    </row>
    <row r="35" spans="2:3" ht="15.75" thickBot="1" x14ac:dyDescent="0.25">
      <c r="B35" s="15">
        <v>45339</v>
      </c>
      <c r="C35">
        <f>'Question-6'!$F35*'Question-6'!$G35</f>
        <v>176</v>
      </c>
    </row>
    <row r="36" spans="2:3" ht="15.75" thickBot="1" x14ac:dyDescent="0.25">
      <c r="B36" s="15">
        <v>45340</v>
      </c>
      <c r="C36">
        <f>'Question-6'!$F36*'Question-6'!$G36</f>
        <v>850</v>
      </c>
    </row>
    <row r="37" spans="2:3" ht="15.75" thickBot="1" x14ac:dyDescent="0.25">
      <c r="B37" s="15">
        <v>45341</v>
      </c>
      <c r="C37">
        <f>'Question-6'!$F37*'Question-6'!$G37</f>
        <v>190</v>
      </c>
    </row>
    <row r="38" spans="2:3" ht="15.75" thickBot="1" x14ac:dyDescent="0.25">
      <c r="B38" s="15">
        <v>45343</v>
      </c>
      <c r="C38">
        <f>'Question-6'!$F38*'Question-6'!$G38</f>
        <v>375</v>
      </c>
    </row>
    <row r="39" spans="2:3" ht="15.75" thickBot="1" x14ac:dyDescent="0.25">
      <c r="B39" s="15">
        <v>45344</v>
      </c>
      <c r="C39">
        <f>'Question-6'!$F39*'Question-6'!$G39</f>
        <v>140</v>
      </c>
    </row>
    <row r="40" spans="2:3" ht="15.75" thickBot="1" x14ac:dyDescent="0.25">
      <c r="B40" s="15">
        <v>45345</v>
      </c>
      <c r="C40">
        <f>'Question-6'!$F40*'Question-6'!$G40</f>
        <v>192</v>
      </c>
    </row>
    <row r="41" spans="2:3" ht="15.75" thickBot="1" x14ac:dyDescent="0.25">
      <c r="B41" s="15">
        <v>45347</v>
      </c>
      <c r="C41">
        <f>'Question-6'!$F41*'Question-6'!$G41</f>
        <v>800</v>
      </c>
    </row>
    <row r="42" spans="2:3" ht="15.75" thickBot="1" x14ac:dyDescent="0.25">
      <c r="B42" s="15">
        <v>45348</v>
      </c>
      <c r="C42">
        <f>'Question-6'!$F42*'Question-6'!$G42</f>
        <v>270</v>
      </c>
    </row>
    <row r="43" spans="2:3" ht="15.75" thickBot="1" x14ac:dyDescent="0.25">
      <c r="B43" s="15">
        <v>45349</v>
      </c>
      <c r="C43">
        <f>'Question-6'!$F43*'Question-6'!$G43</f>
        <v>525</v>
      </c>
    </row>
    <row r="44" spans="2:3" ht="15.75" thickBot="1" x14ac:dyDescent="0.25">
      <c r="B44" s="15">
        <v>45350</v>
      </c>
      <c r="C44">
        <f>'Question-6'!$F44*'Question-6'!$G44</f>
        <v>150</v>
      </c>
    </row>
    <row r="45" spans="2:3" ht="15.75" thickBot="1" x14ac:dyDescent="0.25">
      <c r="B45" s="15">
        <v>45352</v>
      </c>
      <c r="C45">
        <f>'Question-6'!$F45*'Question-6'!$G45</f>
        <v>208</v>
      </c>
    </row>
    <row r="46" spans="2:3" ht="15.75" thickBot="1" x14ac:dyDescent="0.25">
      <c r="B46" s="15">
        <v>45353</v>
      </c>
      <c r="C46">
        <f>'Question-6'!$F46*'Question-6'!$G46</f>
        <v>700</v>
      </c>
    </row>
    <row r="47" spans="2:3" ht="15.75" thickBot="1" x14ac:dyDescent="0.25">
      <c r="B47" s="15">
        <v>45354</v>
      </c>
      <c r="C47">
        <f>'Question-6'!$F47*'Question-6'!$G47</f>
        <v>200</v>
      </c>
    </row>
    <row r="48" spans="2:3" ht="15.75" thickBot="1" x14ac:dyDescent="0.25">
      <c r="B48" s="15">
        <v>45355</v>
      </c>
      <c r="C48">
        <f>'Question-6'!$F48*'Question-6'!$G48</f>
        <v>425</v>
      </c>
    </row>
    <row r="49" spans="2:3" ht="15.75" thickBot="1" x14ac:dyDescent="0.25">
      <c r="B49" s="15">
        <v>45356</v>
      </c>
      <c r="C49">
        <f>'Question-6'!$F49*'Question-6'!$G49</f>
        <v>95</v>
      </c>
    </row>
    <row r="50" spans="2:3" ht="15.75" thickBot="1" x14ac:dyDescent="0.25">
      <c r="B50" s="15">
        <v>45357</v>
      </c>
      <c r="C50">
        <f>'Question-6'!$F50*'Question-6'!$G50</f>
        <v>256</v>
      </c>
    </row>
    <row r="51" spans="2:3" ht="15.75" thickBot="1" x14ac:dyDescent="0.25">
      <c r="B51" s="15">
        <v>45358</v>
      </c>
      <c r="C51">
        <f>'Question-6'!$F51*'Question-6'!$G51</f>
        <v>600</v>
      </c>
    </row>
    <row r="52" spans="2:3" ht="15.75" thickBot="1" x14ac:dyDescent="0.25">
      <c r="B52" s="15">
        <v>45359</v>
      </c>
      <c r="C52">
        <f>'Question-6'!$F52*'Question-6'!$G52</f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Assignment</vt:lpstr>
      <vt:lpstr>Question - 1</vt:lpstr>
      <vt:lpstr>Question-2</vt:lpstr>
      <vt:lpstr>Question-3</vt:lpstr>
      <vt:lpstr>Question-4</vt:lpstr>
      <vt:lpstr>Question-5</vt:lpstr>
      <vt:lpstr>Question-6</vt:lpstr>
      <vt:lpstr>Question-7</vt:lpstr>
      <vt:lpstr>Question-8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TRIPATHI</dc:creator>
  <cp:lastModifiedBy>SHRUTI TRIPATHI</cp:lastModifiedBy>
  <dcterms:created xsi:type="dcterms:W3CDTF">2025-12-05T14:06:44Z</dcterms:created>
  <dcterms:modified xsi:type="dcterms:W3CDTF">2025-12-09T13:23:55Z</dcterms:modified>
</cp:coreProperties>
</file>